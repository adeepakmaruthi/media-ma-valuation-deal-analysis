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ublic Deal Facts" sheetId="2" state="visible" r:id="rId4"/>
    <sheet name="Assumptions" sheetId="3" state="visible" r:id="rId5"/>
    <sheet name="Historical" sheetId="4" state="visible" r:id="rId6"/>
    <sheet name="Projections" sheetId="5" state="visible" r:id="rId7"/>
    <sheet name="DCF" sheetId="6" state="visible" r:id="rId8"/>
    <sheet name="Comps" sheetId="7" state="visible" r:id="rId9"/>
    <sheet name="Transaction" sheetId="8" state="visible" r:id="rId10"/>
    <sheet name="Accretion-Dilution" sheetId="9" state="visible" r:id="rId11"/>
    <sheet name="Sensitivity" sheetId="10" state="visible" r:id="rId12"/>
    <sheet name="Change Log" sheetId="11" state="visible" r:id="rId1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<sst xmlns="http://schemas.openxmlformats.org/spreadsheetml/2006/main" count="426" uniqueCount="375">
  <si>
    <t xml:space="preserve">Media M&amp;A Case Study | Paramount–Warner Bros. Discovery Style</t>
  </si>
  <si>
    <t xml:space="preserve">Hypothetical strategic acquisition analysis • USD billions unless stated • Educational portfolio model</t>
  </si>
  <si>
    <t xml:space="preserve">IMPORTANT CASE SCOPE</t>
  </si>
  <si>
    <t xml:space="preserve">Case type</t>
  </si>
  <si>
    <t xml:space="preserve">A fictional, illustrative media-industry M&amp;A analysis inspired by strategic themes in a Paramount / Warner Bros. Discovery combination.</t>
  </si>
  <si>
    <t xml:space="preserve">Not a real deal model</t>
  </si>
  <si>
    <t xml:space="preserve">This workbook does not represent actual offer terms, actual company forecasts, actual debt balances, current share prices, or a verified transaction. All numbers are hypothetical placeholders created for learning.</t>
  </si>
  <si>
    <t xml:space="preserve">Strategic question</t>
  </si>
  <si>
    <t xml:space="preserve">Could a hypothetical combination of a global studio, streaming service, broadcast networks and content library create value after considering leverage, integration costs, synergies and regulatory risk?</t>
  </si>
  <si>
    <t xml:space="preserve">Model tabs</t>
  </si>
  <si>
    <t xml:space="preserve">Assumptions → Historical → Projections → DCF → Comps → Transaction → Accretion-Dilution → Sensitivity. → Change Log (review of fixes and open items).</t>
  </si>
  <si>
    <t xml:space="preserve">Core outputs</t>
  </si>
  <si>
    <t xml:space="preserve">Stand-alone DCF, trading-comps cross-check, illustrative purchase price, sources &amp; uses, synergy bridge, EPS accretion/dilution, leverage and sensitivities.</t>
  </si>
  <si>
    <t xml:space="preserve">Units</t>
  </si>
  <si>
    <t xml:space="preserve">USD billions except per-share values, share counts in billions, and valuation multiples.</t>
  </si>
  <si>
    <t xml:space="preserve">Color convention</t>
  </si>
  <si>
    <t xml:space="preserve">Yellow cells are editable assumptions. Formula cells calculate outputs. Change assumptions in the Assumptions sheet and review downstream tabs.</t>
  </si>
  <si>
    <t xml:space="preserve">Research discipline</t>
  </si>
  <si>
    <t xml:space="preserve">For a real Paramount/WBD analysis, replace every placeholder with source-cited filings, earnings releases, debt schedules, share counts and market prices as of a stated date.</t>
  </si>
  <si>
    <t xml:space="preserve">Model limitations</t>
  </si>
  <si>
    <t xml:space="preserve">Simplified cash flow, debt, tax, share issuance, purchase accounting, content amortization, restructuring, integration costs, tax attributes and regulatory treatment.</t>
  </si>
  <si>
    <t xml:space="preserve">Suggested portfolio claim</t>
  </si>
  <si>
    <t xml:space="preserve">Built a hypothetical media-sector M&amp;A model integrating DCF, trading comparables, financing, synergies, leverage, EPS accretion/dilution and scenario analysis. All financial assumptions were illustrative.</t>
  </si>
  <si>
    <t xml:space="preserve">M&amp;A CONCEPTS</t>
  </si>
  <si>
    <t xml:space="preserve">Enterprise value</t>
  </si>
  <si>
    <t xml:space="preserve">Value of the operating business to debt and equity holders; commonly equity value + debt − cash.</t>
  </si>
  <si>
    <t xml:space="preserve">DCF</t>
  </si>
  <si>
    <t xml:space="preserve">Present value of future free cash flow plus present value of terminal value.</t>
  </si>
  <si>
    <t xml:space="preserve">WACC</t>
  </si>
  <si>
    <t xml:space="preserve">Weighted average cost of capital, the discount rate for unlevered free cash flow.</t>
  </si>
  <si>
    <t xml:space="preserve">Synergies</t>
  </si>
  <si>
    <t xml:space="preserve">Incremental benefits from combining companies, net of integration costs and execution risk.</t>
  </si>
  <si>
    <t xml:space="preserve">Sources &amp; uses</t>
  </si>
  <si>
    <t xml:space="preserve">Funding sources must equal purchase price, refinancing, fees and other transaction uses.</t>
  </si>
  <si>
    <t xml:space="preserve">EPS accretion/dilution</t>
  </si>
  <si>
    <t xml:space="preserve">Compares pro forma earnings per share with the acquirer’s standalone EPS.</t>
  </si>
  <si>
    <t xml:space="preserve">Regulatory risk</t>
  </si>
  <si>
    <t xml:space="preserve">Antitrust, media ownership, content licensing and public-interest reviews can delay, reshape or block a deal.</t>
  </si>
  <si>
    <t xml:space="preserve">Public Deal Facts | Paramount–Warner Bros. Discovery</t>
  </si>
  <si>
    <t xml:space="preserve">Verified public transaction context as of 27-Oct-2026. This fact sheet is separate from the fictional model assumptions.</t>
  </si>
  <si>
    <t xml:space="preserve">Item</t>
  </si>
  <si>
    <t xml:space="preserve">Publicly reported information / source</t>
  </si>
  <si>
    <t xml:space="preserve">Transaction status</t>
  </si>
  <si>
    <t xml:space="preserve">Paramount Skydance announced that it completed the acquisition of Warner Bros. Discovery on 6 October 2026. WBD common stock ceased trading following closing. Source: Paramount official release: https://ir.paramount.com/news-releases/news-release-details/paramount-completes-acquisition-warner-bros-discovery-creating</t>
  </si>
  <si>
    <t xml:space="preserve">Cash consideration per WBD share</t>
  </si>
  <si>
    <t xml:space="preserve">The official closing release states WBD shareholders received $31.01666668 per share in cash. Source: https://ir.paramount.com/news-releases/news-release-details/paramount-completes-acquisition-warner-bros-discovery-creating</t>
  </si>
  <si>
    <t xml:space="preserve">Reported deal value</t>
  </si>
  <si>
    <t xml:space="preserve">CBS News described the completed transaction as a $110 billion acquisition. This is a reported headline transaction value, not an input automatically used by this model. Source: https://www.cbsnews.com/news/paramount-warner-bros-discovery-deal-skydance/</t>
  </si>
  <si>
    <t xml:space="preserve">Run-rate synergies — management target</t>
  </si>
  <si>
    <t xml:space="preserve">The closing release states the company is targeting at least $6 billion in run-rate synergies within three years. This is a forward-looking management target, not an achieved result. Source: https://ir.paramount.com/news-releases/news-release-details/paramount-completes-acquisition-warner-bros-discovery-creating</t>
  </si>
  <si>
    <t xml:space="preserve">Free cash flow — management target</t>
  </si>
  <si>
    <t xml:space="preserve">The same release states the company expects more than $10 billion in free cash flow by 2030. This is a forward-looking expectation, not a guaranteed outcome. Source: https://ir.paramount.com/news-releases/news-release-details/paramount-completes-acquisition-warner-bros-discovery-creating</t>
  </si>
  <si>
    <t xml:space="preserve">Net leverage target</t>
  </si>
  <si>
    <t xml:space="preserve">The company said it aims to reduce net leverage to 3.0x by the end of 2029. This is a target, not an achieved leverage ratio. Source: https://ir.paramount.com/news-releases/news-release-details/paramount-completes-acquisition-warner-bros-discovery-creating</t>
  </si>
  <si>
    <t xml:space="preserve">Strategic assets combined</t>
  </si>
  <si>
    <t xml:space="preserve">The company release describes the combination as bringing together two major film studios, two global streaming services, CBS, HBO, cable networks, CBS News, CNN, sports assets and a large content library. Source: https://ir.paramount.com/news-releases/news-release-details/paramount-completes-acquisition-warner-bros-discovery-creating</t>
  </si>
  <si>
    <t xml:space="preserve">Regulatory context</t>
  </si>
  <si>
    <t xml:space="preserve">The UK Competition and Markets Authority's case page states the inquiry closed on 17 August 2026 and that the CMA cleared the anticipated acquisition on 6 August 2026. Source: https://www.gov.uk/cma-cases/paramount-slash-warner-bros-discovery-merger-inquiry</t>
  </si>
  <si>
    <t xml:space="preserve">Model separation</t>
  </si>
  <si>
    <t xml:space="preserve">The Assumptions, Historical, Projections, DCF, Comps and Transaction sheets continue to use fictional educational inputs. Do not present those numbers as the actual deal, company results or the deal's actual financing structure.</t>
  </si>
  <si>
    <t xml:space="preserve">How to upgrade to a sourced real-company model</t>
  </si>
  <si>
    <t xml:space="preserve">For a true historical deal analysis, collect actual filings and transaction documents for a fixed date: merger agreement, proxy/registration statements, debt tender/exchange documents, company filings, earnings releases, market prices, diluted shares and debt/cash balances. Cite each input and distinguish reported facts from analyst estimates.</t>
  </si>
  <si>
    <t xml:space="preserve">Model vs reported: equity value</t>
  </si>
  <si>
    <t xml:space="preserve">Model vs reported: enterprise value</t>
  </si>
  <si>
    <t xml:space="preserve">Model vs reported: target net debt</t>
  </si>
  <si>
    <t xml:space="preserve">Editable Assumptions</t>
  </si>
  <si>
    <t xml:space="preserve">All inputs are hypothetical USD billions or percentages. These are not Paramount or WBD reported figures.</t>
  </si>
  <si>
    <t xml:space="preserve">OPERATING / VALUATION ASSUMPTIONS</t>
  </si>
  <si>
    <t xml:space="preserve">Revenue growth Y1</t>
  </si>
  <si>
    <t xml:space="preserve">Illustrative combined revenue growth in first forecast year</t>
  </si>
  <si>
    <t xml:space="preserve">Revenue growth Y2</t>
  </si>
  <si>
    <t xml:space="preserve">Illustrative revenue growth</t>
  </si>
  <si>
    <t xml:space="preserve">Revenue growth Y3</t>
  </si>
  <si>
    <t xml:space="preserve">Revenue growth Y4</t>
  </si>
  <si>
    <t xml:space="preserve">Revenue growth Y5</t>
  </si>
  <si>
    <t xml:space="preserve">EBITDA margin Y1</t>
  </si>
  <si>
    <t xml:space="preserve">Anchored to 2025A combined margin of ~12.3% ($8.1bn / $66bn); +0.5pt per year thereafter. Excludes synergies (modelled separately). Revised from 16%-20%.</t>
  </si>
  <si>
    <t xml:space="preserve">EBITDA margin Y2</t>
  </si>
  <si>
    <t xml:space="preserve">Illustrative adjusted EBITDA margin; +0.5pt/yr recovery vs 2025A (revised)</t>
  </si>
  <si>
    <t xml:space="preserve">EBITDA margin Y3</t>
  </si>
  <si>
    <t xml:space="preserve">EBITDA margin Y4</t>
  </si>
  <si>
    <t xml:space="preserve">EBITDA margin Y5</t>
  </si>
  <si>
    <t xml:space="preserve">D&amp;A % revenue</t>
  </si>
  <si>
    <t xml:space="preserve">Content amortization and depreciation simplified as % of revenue</t>
  </si>
  <si>
    <t xml:space="preserve">Capex % revenue</t>
  </si>
  <si>
    <t xml:space="preserve">Capital expenditure assumption</t>
  </si>
  <si>
    <t xml:space="preserve">Cash tax rate</t>
  </si>
  <si>
    <t xml:space="preserve">Simplified cash tax rate</t>
  </si>
  <si>
    <t xml:space="preserve">NWC investment % revenue change</t>
  </si>
  <si>
    <t xml:space="preserve">Simplified incremental net working capital investment</t>
  </si>
  <si>
    <t xml:space="preserve">Risk-free rate</t>
  </si>
  <si>
    <t xml:space="preserve">Illustrative USD risk-free rate; replace with valuation-date market data</t>
  </si>
  <si>
    <t xml:space="preserve">Equity risk premium</t>
  </si>
  <si>
    <t xml:space="preserve">Illustrative equity risk premium</t>
  </si>
  <si>
    <t xml:space="preserve">Levered beta</t>
  </si>
  <si>
    <t xml:space="preserve">Illustrative sector beta</t>
  </si>
  <si>
    <t xml:space="preserve">Pre-tax cost of debt</t>
  </si>
  <si>
    <t xml:space="preserve">Illustrative refinancing/borrowing rate</t>
  </si>
  <si>
    <t xml:space="preserve">Debt weight in WACC</t>
  </si>
  <si>
    <t xml:space="preserve">Illustrative target capital structure</t>
  </si>
  <si>
    <t xml:space="preserve">Perpetual growth rate</t>
  </si>
  <si>
    <t xml:space="preserve">Must be below WACC</t>
  </si>
  <si>
    <t xml:space="preserve">EV / EBITDA comp multiple</t>
  </si>
  <si>
    <t xml:space="preserve">Illustrative selected trading multiple; not sourced market data</t>
  </si>
  <si>
    <t xml:space="preserve">Acquisition premium</t>
  </si>
  <si>
    <t xml:space="preserve">Illustrative premium to target unaffected equity value</t>
  </si>
  <si>
    <t xml:space="preserve">Transaction fees % purchase equity</t>
  </si>
  <si>
    <t xml:space="preserve">Illustrative fees as a percentage of target equity purchase price</t>
  </si>
  <si>
    <t xml:space="preserve">Refinanced target debt</t>
  </si>
  <si>
    <t xml:space="preserve">Hypothetical debt to refinance at closing</t>
  </si>
  <si>
    <t xml:space="preserve">Existing target debt retained</t>
  </si>
  <si>
    <t xml:space="preserve">Formula: target 2025A net debt less refinanced amount, so all target debt is accounted for (was hard-coded 0, which dropped $28bn of debt)</t>
  </si>
  <si>
    <t xml:space="preserve">Acquisition debt funding % total uses</t>
  </si>
  <si>
    <t xml:space="preserve">Fraction of transaction uses funded with new debt</t>
  </si>
  <si>
    <t xml:space="preserve">Acquirer standalone net income</t>
  </si>
  <si>
    <t xml:space="preserve">Linked to 2025A net income (loss) so it ties to Historical; overwrite with a sourced forward estimate if desired</t>
  </si>
  <si>
    <t xml:space="preserve">Acquirer diluted shares</t>
  </si>
  <si>
    <t xml:space="preserve">Illustrative buyer diluted shares in billions</t>
  </si>
  <si>
    <t xml:space="preserve">Target standalone net income</t>
  </si>
  <si>
    <t xml:space="preserve">Annual run-rate cost synergies</t>
  </si>
  <si>
    <t xml:space="preserve">Illustrative annual pre-tax cost synergies; not actual guidance</t>
  </si>
  <si>
    <t xml:space="preserve">Year 1 synergy realization</t>
  </si>
  <si>
    <t xml:space="preserve">Share of run-rate synergies realized in Year 1</t>
  </si>
  <si>
    <t xml:space="preserve">One-time integration costs</t>
  </si>
  <si>
    <t xml:space="preserve">Illustrative pre-tax integration costs in Year 1</t>
  </si>
  <si>
    <t xml:space="preserve">Content / restructuring dis-synergies</t>
  </si>
  <si>
    <t xml:space="preserve">Illustrative annual pre-tax dis-synergies or stranded costs</t>
  </si>
  <si>
    <t xml:space="preserve">Buyer share price</t>
  </si>
  <si>
    <t xml:space="preserve">Illustrative USD per-share price for stock consideration analysis</t>
  </si>
  <si>
    <t xml:space="preserve">Stock consideration %</t>
  </si>
  <si>
    <t xml:space="preserve">Illustrative share of equity purchase consideration paid in stock</t>
  </si>
  <si>
    <t xml:space="preserve">Terminal D&amp;A as % of capex</t>
  </si>
  <si>
    <t xml:space="preserve">Normalizes terminal year so D&amp;A = capex (steady state). Added to fix terminal-value tax shield.</t>
  </si>
  <si>
    <t xml:space="preserve">CASE LABELS</t>
  </si>
  <si>
    <t xml:space="preserve">Acquirer</t>
  </si>
  <si>
    <t xml:space="preserve">Paramount-style MediaCo</t>
  </si>
  <si>
    <t xml:space="preserve">Fictional stand-in for a diversified media acquirer</t>
  </si>
  <si>
    <t xml:space="preserve">Target</t>
  </si>
  <si>
    <t xml:space="preserve">Warner-style Studios &amp; StreamingCo</t>
  </si>
  <si>
    <t xml:space="preserve">Fictional stand-in for a studio, streaming and content-library company</t>
  </si>
  <si>
    <t xml:space="preserve">Valuation date</t>
  </si>
  <si>
    <t xml:space="preserve">Illustrative 31-Dec-2025</t>
  </si>
  <si>
    <t xml:space="preserve">Not a statement about any actual transaction</t>
  </si>
  <si>
    <t xml:space="preserve">Currency</t>
  </si>
  <si>
    <t xml:space="preserve">USD billions</t>
  </si>
  <si>
    <t xml:space="preserve">Per-share metrics in USD</t>
  </si>
  <si>
    <t xml:space="preserve">Illustrative Standalone Financials</t>
  </si>
  <si>
    <t xml:space="preserve">Fictionalized case inputs for two media businesses; not actual reported company data.</t>
  </si>
  <si>
    <t xml:space="preserve">ACQUIRER: PARAMOUNT-STYLE MEDIACO</t>
  </si>
  <si>
    <t xml:space="preserve">Revenue</t>
  </si>
  <si>
    <t xml:space="preserve">Adjusted EBITDA</t>
  </si>
  <si>
    <t xml:space="preserve">D&amp;A / content amortization</t>
  </si>
  <si>
    <t xml:space="preserve">EBIT</t>
  </si>
  <si>
    <t xml:space="preserve">Interest expense</t>
  </si>
  <si>
    <t xml:space="preserve">Pre-tax income</t>
  </si>
  <si>
    <t xml:space="preserve">Cash taxes</t>
  </si>
  <si>
    <t xml:space="preserve">Net income</t>
  </si>
  <si>
    <t xml:space="preserve">Net debt</t>
  </si>
  <si>
    <t xml:space="preserve">Diluted shares (bn)</t>
  </si>
  <si>
    <t xml:space="preserve">TARGET: WARNER-STYLE STUDIOS &amp; STREAMINGCO</t>
  </si>
  <si>
    <t xml:space="preserve">All figures in this sheet are invented for the educational scenario. Negative net income is deliberately included to show why P/E may be inappropriate for loss-making media businesses.</t>
  </si>
  <si>
    <t xml:space="preserve">Combined Company Forecast</t>
  </si>
  <si>
    <t xml:space="preserve">Simplified combined operating projections; USD billions. Content amortization treated as D&amp;A.</t>
  </si>
  <si>
    <t xml:space="preserve">COMBINED INCOME STATEMENT</t>
  </si>
  <si>
    <t xml:space="preserve">Revenue growth</t>
  </si>
  <si>
    <t xml:space="preserve">EBITDA</t>
  </si>
  <si>
    <t xml:space="preserve">EBITDA margin</t>
  </si>
  <si>
    <t xml:space="preserve">Cash taxes on EBIT</t>
  </si>
  <si>
    <t xml:space="preserve">NOPAT</t>
  </si>
  <si>
    <t xml:space="preserve">D&amp;A add-back</t>
  </si>
  <si>
    <t xml:space="preserve">Capex</t>
  </si>
  <si>
    <t xml:space="preserve">Change in NWC</t>
  </si>
  <si>
    <t xml:space="preserve">Unlevered FCFF</t>
  </si>
  <si>
    <t xml:space="preserve">SYNERGY BRIDGE (ILLUSTRATIVE)</t>
  </si>
  <si>
    <t xml:space="preserve">Run-rate cost synergies</t>
  </si>
  <si>
    <t xml:space="preserve">Year 1 realization %</t>
  </si>
  <si>
    <t xml:space="preserve">Year 1 gross synergies</t>
  </si>
  <si>
    <t xml:space="preserve">Annual dis-synergies / stranded costs</t>
  </si>
  <si>
    <t xml:space="preserve">Year 1 integration costs</t>
  </si>
  <si>
    <t xml:space="preserve">Year 1 net pre-tax deal benefits</t>
  </si>
  <si>
    <t xml:space="preserve">DCF Valuation</t>
  </si>
  <si>
    <t xml:space="preserve">Unlevered DCF of hypothetical combined operating business; USD billions.</t>
  </si>
  <si>
    <t xml:space="preserve">Discount period</t>
  </si>
  <si>
    <t xml:space="preserve">Discount factor</t>
  </si>
  <si>
    <t xml:space="preserve">PV of FCFF</t>
  </si>
  <si>
    <t xml:space="preserve">WACC AND VALUATION SUMMARY</t>
  </si>
  <si>
    <t xml:space="preserve">Cost of equity (CAPM)</t>
  </si>
  <si>
    <t xml:space="preserve">Equity weight</t>
  </si>
  <si>
    <t xml:space="preserve">Debt weight</t>
  </si>
  <si>
    <t xml:space="preserve">Perpetual growth</t>
  </si>
  <si>
    <t xml:space="preserve">Terminal year FCFF (normalized, grown)</t>
  </si>
  <si>
    <t xml:space="preserve">Terminal value</t>
  </si>
  <si>
    <t xml:space="preserve">PV terminal value</t>
  </si>
  <si>
    <t xml:space="preserve">PV forecast FCFF</t>
  </si>
  <si>
    <t xml:space="preserve">DCF enterprise value</t>
  </si>
  <si>
    <t xml:space="preserve">Combined net debt (2025A, pre-deal)</t>
  </si>
  <si>
    <t xml:space="preserve">DCF equity value (simplified)</t>
  </si>
  <si>
    <t xml:space="preserve">WACC = equity weight × cost of equity + debt weight × pre-tax cost of debt × (1 − tax rate). Terminal growth must be below WACC. Enterprise value is before transaction financing and does not equal equity value. Terminal FCFF is normalized so D&amp;A = capex (Assumptions B40). DCF is stand-alone: synergies are excluded.</t>
  </si>
  <si>
    <t xml:space="preserve">TERMINAL-YEAR NORMALIZATION</t>
  </si>
  <si>
    <t xml:space="preserve">Terminal-year EBITDA</t>
  </si>
  <si>
    <t xml:space="preserve">Normalized terminal D&amp;A (= capex x ratio)</t>
  </si>
  <si>
    <t xml:space="preserve">Terminal EBIT</t>
  </si>
  <si>
    <t xml:space="preserve">Terminal NOPAT</t>
  </si>
  <si>
    <t xml:space="preserve">Normalized terminal FCFF (before growth)</t>
  </si>
  <si>
    <t xml:space="preserve">DCF vs COMPS CROSS-CHECK</t>
  </si>
  <si>
    <t xml:space="preserve">Comps-implied combined EV (median multiple)</t>
  </si>
  <si>
    <t xml:space="preserve">DCF premium / (discount) to comps</t>
  </si>
  <si>
    <t xml:space="preserve">DCF EV / 2025A combined EBITDA</t>
  </si>
  <si>
    <t xml:space="preserve">Peer median EV / EBITDA</t>
  </si>
  <si>
    <t xml:space="preserve">Implied terminal EV / 2030 EBITDA</t>
  </si>
  <si>
    <t xml:space="preserve">Terminal value as % of DCF EV</t>
  </si>
  <si>
    <t xml:space="preserve">Trading Comparables Cross-Check</t>
  </si>
  <si>
    <t xml:space="preserve">Illustrative fictional media peer set and multiples; not real market data.</t>
  </si>
  <si>
    <t xml:space="preserve">FICTIONAL COMPARABLES</t>
  </si>
  <si>
    <t xml:space="preserve">Peer</t>
  </si>
  <si>
    <t xml:space="preserve">EV / EBITDA</t>
  </si>
  <si>
    <t xml:space="preserve">Fictional Media Peer A</t>
  </si>
  <si>
    <t xml:space="preserve">Fictional Media Peer B</t>
  </si>
  <si>
    <t xml:space="preserve">Fictional Media Peer C</t>
  </si>
  <si>
    <t xml:space="preserve">Fictional Media Peer D</t>
  </si>
  <si>
    <t xml:space="preserve">Fictional Media Peer E</t>
  </si>
  <si>
    <t xml:space="preserve">TARGET IMPLIED VALUATION</t>
  </si>
  <si>
    <t xml:space="preserve">Median EV / EBITDA</t>
  </si>
  <si>
    <t xml:space="preserve">Target standalone 2025 EBITDA</t>
  </si>
  <si>
    <t xml:space="preserve">Target implied enterprise value</t>
  </si>
  <si>
    <t xml:space="preserve">Less target net debt</t>
  </si>
  <si>
    <t xml:space="preserve">Target implied equity value</t>
  </si>
  <si>
    <t xml:space="preserve">Combined 2025 EBITDA</t>
  </si>
  <si>
    <t xml:space="preserve">Illustrative combined EV at median multiple</t>
  </si>
  <si>
    <t xml:space="preserve">Comparable analysis is a cross-check only. Real peers must be selected based on business mix, growth, margins, content ownership, leverage and market date.</t>
  </si>
  <si>
    <t xml:space="preserve">TARGET EQUITY SENSITIVITY TO MULTIPLE (equity is a thin residual of EV less net debt)</t>
  </si>
  <si>
    <t xml:space="preserve">Implied EV</t>
  </si>
  <si>
    <t xml:space="preserve">Implied equity</t>
  </si>
  <si>
    <t xml:space="preserve">% change vs base</t>
  </si>
  <si>
    <t xml:space="preserve">At 7.0x the implied target equity is negative: a 1.0x move changes equity by $5.5bn against a ~$2bn base. Treat the Transaction offer price as illustrative only.</t>
  </si>
  <si>
    <t xml:space="preserve">Transaction Structure, Sources &amp; Uses</t>
  </si>
  <si>
    <t xml:space="preserve">Simplified hypothetical stock/cash acquisition. USD billions except multiples.</t>
  </si>
  <si>
    <t xml:space="preserve">OFFER VALUATION</t>
  </si>
  <si>
    <t xml:space="preserve">Target unaffected equity value (comps proxy)</t>
  </si>
  <si>
    <t xml:space="preserve">Equity value implied by fictional EV/EBITDA peer multiple</t>
  </si>
  <si>
    <t xml:space="preserve">Illustrative premium</t>
  </si>
  <si>
    <t xml:space="preserve">Offer equity purchase price</t>
  </si>
  <si>
    <t xml:space="preserve">Equity purchase consideration</t>
  </si>
  <si>
    <t xml:space="preserve">Target debt refinanced</t>
  </si>
  <si>
    <t xml:space="preserve">Hypothetical debt refinance at close</t>
  </si>
  <si>
    <t xml:space="preserve">Target debt retained</t>
  </si>
  <si>
    <t xml:space="preserve">Assumed debt remaining after close</t>
  </si>
  <si>
    <t xml:space="preserve">Transaction fees</t>
  </si>
  <si>
    <t xml:space="preserve">Fees as % of equity purchase price</t>
  </si>
  <si>
    <t xml:space="preserve">Total uses</t>
  </si>
  <si>
    <t xml:space="preserve">Purchase price + refinanced debt + fees; retained debt excluded from cash uses</t>
  </si>
  <si>
    <t xml:space="preserve">Implied transaction enterprise value</t>
  </si>
  <si>
    <t xml:space="preserve">Equity purchase price plus debt assumed/refinanced</t>
  </si>
  <si>
    <t xml:space="preserve">SOURCES &amp; USES</t>
  </si>
  <si>
    <t xml:space="preserve">USES</t>
  </si>
  <si>
    <t xml:space="preserve">Amount</t>
  </si>
  <si>
    <t xml:space="preserve">SOURCES</t>
  </si>
  <si>
    <t xml:space="preserve">Notes</t>
  </si>
  <si>
    <t xml:space="preserve">Equity purchase price</t>
  </si>
  <si>
    <t xml:space="preserve">New acquisition debt</t>
  </si>
  <si>
    <t xml:space="preserve">Debt refinancing</t>
  </si>
  <si>
    <t xml:space="preserve">Stock consideration</t>
  </si>
  <si>
    <t xml:space="preserve">Buyer cash / other equity funding</t>
  </si>
  <si>
    <t xml:space="preserve">Total sources</t>
  </si>
  <si>
    <t xml:space="preserve">Sources less uses</t>
  </si>
  <si>
    <t xml:space="preserve">Should equal zero.</t>
  </si>
  <si>
    <t xml:space="preserve">Stock shares issued (bn)</t>
  </si>
  <si>
    <t xml:space="preserve">Stock consideration (USD bn) divided by buyer share price (USD/share) = new shares (bn).</t>
  </si>
  <si>
    <t xml:space="preserve">Check: refinanced + retained debt less target net debt</t>
  </si>
  <si>
    <t xml:space="preserve">Important: a real transaction sources &amp; uses would separately show cash on balance sheet, refinancing or repayment of all debt, fees, minimum cash, rollover equity, debt-like items, and any share consideration using fully diluted shares and a defined offer price.</t>
  </si>
  <si>
    <t xml:space="preserve">EPS Accretion / Dilution</t>
  </si>
  <si>
    <t xml:space="preserve">Simplified year-one pro forma EPS analysis; USD billions and shares in billions.</t>
  </si>
  <si>
    <t xml:space="preserve">PRO FORMA EPS BRIDGE</t>
  </si>
  <si>
    <t xml:space="preserve">Illustrative net income</t>
  </si>
  <si>
    <t xml:space="preserve">Illustrative diluted shares</t>
  </si>
  <si>
    <t xml:space="preserve">Acquirer standalone EPS</t>
  </si>
  <si>
    <t xml:space="preserve">Standalone EPS</t>
  </si>
  <si>
    <t xml:space="preserve">Illustrative target net income; not historical fact</t>
  </si>
  <si>
    <t xml:space="preserve">Run-rate synergies × realization fraction</t>
  </si>
  <si>
    <t xml:space="preserve">Less: dis-synergies</t>
  </si>
  <si>
    <t xml:space="preserve">Stranded costs / content disruption</t>
  </si>
  <si>
    <t xml:space="preserve">Less: integration costs</t>
  </si>
  <si>
    <t xml:space="preserve">One-time Year 1 integration costs</t>
  </si>
  <si>
    <t xml:space="preserve">Net pre-tax deal benefits</t>
  </si>
  <si>
    <t xml:space="preserve">Synergies less dis-synergies and integration costs</t>
  </si>
  <si>
    <t xml:space="preserve">After-tax deal benefits</t>
  </si>
  <si>
    <t xml:space="preserve">Simplified tax treatment</t>
  </si>
  <si>
    <t xml:space="preserve">Acquisition debt</t>
  </si>
  <si>
    <t xml:space="preserve">New debt funding</t>
  </si>
  <si>
    <t xml:space="preserve">After-tax incremental net interest expense</t>
  </si>
  <si>
    <t xml:space="preserve">New-debt interest + foregone interest on buyer cash, less interest saved on refinanced target debt (see detail below), after tax</t>
  </si>
  <si>
    <t xml:space="preserve">New shares issued</t>
  </si>
  <si>
    <t xml:space="preserve">Stock consideration / share price</t>
  </si>
  <si>
    <t xml:space="preserve">Pro forma net income</t>
  </si>
  <si>
    <t xml:space="preserve">Buyer NI + target NI + after-tax benefits − after-tax interest</t>
  </si>
  <si>
    <t xml:space="preserve">Pro forma diluted shares</t>
  </si>
  <si>
    <t xml:space="preserve">Buyer shares plus new shares issued</t>
  </si>
  <si>
    <t xml:space="preserve">Pro forma EPS</t>
  </si>
  <si>
    <t xml:space="preserve">EPS accretion / (dilution) %</t>
  </si>
  <si>
    <t xml:space="preserve">n.m. (not meaningful) when standalone EPS is zero or negative; use the $ per share change below</t>
  </si>
  <si>
    <t xml:space="preserve">EPS change vs standalone ($ per share)</t>
  </si>
  <si>
    <t xml:space="preserve">Pro forma EPS less standalone EPS</t>
  </si>
  <si>
    <t xml:space="preserve">Pro forma EPS excl. one-time integration costs</t>
  </si>
  <si>
    <t xml:space="preserve">Adds back after-tax one-time integration costs</t>
  </si>
  <si>
    <t xml:space="preserve">EPS change excl. one-time integration ($ per share)</t>
  </si>
  <si>
    <t xml:space="preserve">Run-rate view of Year 1</t>
  </si>
  <si>
    <t xml:space="preserve">INCREMENTAL INTEREST DETAIL (pre-tax, USD bn)</t>
  </si>
  <si>
    <t xml:space="preserve">Interest on new acquisition debt</t>
  </si>
  <si>
    <t xml:space="preserve">New debt x pre-tax cost of debt</t>
  </si>
  <si>
    <t xml:space="preserve">Foregone interest on buyer cash used</t>
  </si>
  <si>
    <t xml:space="preserve">Buyer cash / other funding x risk-free rate (proxy yield)</t>
  </si>
  <si>
    <t xml:space="preserve">Less: interest saved on refinanced target debt</t>
  </si>
  <si>
    <t xml:space="preserve">Refinanced debt x target 2025A implied rate (interest / net debt). Already inside target net income, so it must be removed.</t>
  </si>
  <si>
    <t xml:space="preserve">Net incremental pre-tax interest</t>
  </si>
  <si>
    <t xml:space="preserve">Caution: EPS accretion is not the same as value creation. This simplified model omits purchase accounting, content amortization step-ups, financing fees, debt repayment schedules, tax attributes, integration timing and share price movements.</t>
  </si>
  <si>
    <t xml:space="preserve">Sensitivity Analysis</t>
  </si>
  <si>
    <t xml:space="preserve">Illustrative scenarios. DCF EV varies with WACC/growth (normalized terminal FCFF); EPS change ($/share) varies with synergies/debt funding.</t>
  </si>
  <si>
    <t xml:space="preserve">DCF ENTERPRISE VALUE: WACC VS PERPETUAL GROWTH</t>
  </si>
  <si>
    <t xml:space="preserve">WACC \ Growth</t>
  </si>
  <si>
    <t xml:space="preserve">EPS CHANGE ($ PER SHARE): SYNERGIES VS DEBT FUNDING</t>
  </si>
  <si>
    <t xml:space="preserve">Debt funding \ Synergies</t>
  </si>
  <si>
    <t xml:space="preserve">Interpretation: lower WACC and higher terminal growth raise DCF value; higher synergies may improve EPS, while debt financing raises interest expense and leverage risk. Never assume full synergy capture without an integration plan. EPS grid is $ per share because standalone EPS is negative on 2025A inputs.</t>
  </si>
  <si>
    <t xml:space="preserve">Change Log: review of the model</t>
  </si>
  <si>
    <t xml:space="preserve">USD billions. "Before" values are from the original file (hard-coded for reference); "After" values are live formulas.</t>
  </si>
  <si>
    <t xml:space="preserve">#</t>
  </si>
  <si>
    <t xml:space="preserve">Issue</t>
  </si>
  <si>
    <t xml:space="preserve">Where</t>
  </si>
  <si>
    <t xml:space="preserve">Fix applied</t>
  </si>
  <si>
    <t xml:space="preserve">Net debt in equity bridge subtracted the refinanced $14bn, giving $43bn instead of $57bn</t>
  </si>
  <si>
    <t xml:space="preserve">DCF!B33</t>
  </si>
  <si>
    <t xml:space="preserve">Now = Historical net debt (acquirer + target), $57bn</t>
  </si>
  <si>
    <t xml:space="preserve">Terminal year left D&amp;A (7% of revenue) above capex (4%) forever, overstating the terminal tax shield</t>
  </si>
  <si>
    <t xml:space="preserve">DCF rows 38-43; Assumptions!B40</t>
  </si>
  <si>
    <t xml:space="preserve">Terminal D&amp;A normalized to capex; terminal FCFF rebuilt (EBIT, tax, NOPAT). Sensitivity grid re-pointed to the normalized figure.</t>
  </si>
  <si>
    <t xml:space="preserve">EBITDA margin jumped from 12.3% (2025A) to 16% in 2026 and 20% by 2030 while history was declining</t>
  </si>
  <si>
    <t xml:space="preserve">Assumptions!B10:B14</t>
  </si>
  <si>
    <t xml:space="preserve">Path reset to 12.5% rising 0.5pt/yr to 14.5%. Judgment call: change it if you have a sourced view.</t>
  </si>
  <si>
    <t xml:space="preserve">DCF was ~2x the comps cross-check with no reconciliation</t>
  </si>
  <si>
    <t xml:space="preserve">DCF rows 45-52</t>
  </si>
  <si>
    <t xml:space="preserve">Added DCF vs comps premium, implied EV/EBITDA, implied terminal multiple, TV share.</t>
  </si>
  <si>
    <t xml:space="preserve">$28bn of target debt disappeared: only $14bn refinanced and $0 retained against $42bn net debt</t>
  </si>
  <si>
    <t xml:space="preserve">Assumptions!B29; Transaction!B26</t>
  </si>
  <si>
    <t xml:space="preserve">Retained debt = target net debt less refinanced. Added a check cell (should be 0).</t>
  </si>
  <si>
    <t xml:space="preserve">Target equity ($2bn) is a thin residual of EV less net debt, extremely sensitive to the multiple</t>
  </si>
  <si>
    <t xml:space="preserve">Comps rows 24-31</t>
  </si>
  <si>
    <t xml:space="preserve">Added sensitivity showing equity at +/-1.0x (negative at 7.0x). Offer price still illustrative.</t>
  </si>
  <si>
    <t xml:space="preserve">EPS inputs ($1.2bn / $0.45bn) contradicted the Historical sheet (2025A: -$0.4bn / -$1.0bn)</t>
  </si>
  <si>
    <t xml:space="preserve">Assumptions!B31, B33</t>
  </si>
  <si>
    <t xml:space="preserve">Linked to Historical 2025A. % accretion shows n.m. when standalone EPS &lt;= 0; $ per share change added.</t>
  </si>
  <si>
    <t xml:space="preserve">Interest was double counted: new debt interest added on top of the existing interest on the $14bn it refinances; foregone interest on buyer cash was ignored</t>
  </si>
  <si>
    <t xml:space="preserve">Accretion-Dilution rows 15, 25-29; Sensitivity grid</t>
  </si>
  <si>
    <t xml:space="preserve">Net incremental interest = new debt + foregone cash interest - interest saved on refinanced debt.</t>
  </si>
  <si>
    <t xml:space="preserve">Year 1 EPS was burdened by the one-time $1bn integration cost with no run-rate view</t>
  </si>
  <si>
    <t xml:space="preserve">Accretion-Dilution rows 22-23</t>
  </si>
  <si>
    <t xml:space="preserve">Added EPS excluding one-time integration costs.</t>
  </si>
  <si>
    <t xml:space="preserve">Model vs real deal not reconciled</t>
  </si>
  <si>
    <t xml:space="preserve">Public Deal Facts rows 15-17</t>
  </si>
  <si>
    <t xml:space="preserve">Added model vs reported equity value, EV and net debt.</t>
  </si>
  <si>
    <t xml:space="preserve">Key output</t>
  </si>
  <si>
    <t xml:space="preserve">Before (original)</t>
  </si>
  <si>
    <t xml:space="preserve">After (corrected)</t>
  </si>
  <si>
    <t xml:space="preserve">Net debt used in equity bridge</t>
  </si>
  <si>
    <t xml:space="preserve">DCF equity value</t>
  </si>
  <si>
    <t xml:space="preserve">DCF EV / 2025A EBITDA</t>
  </si>
  <si>
    <t xml:space="preserve">DCF premium to comps EV</t>
  </si>
  <si>
    <t xml:space="preserve">Implied transaction EV</t>
  </si>
  <si>
    <t xml:space="preserve">EPS change ($ per share)</t>
  </si>
  <si>
    <t xml:space="preserve">n/a</t>
  </si>
  <si>
    <t xml:space="preserve">Open items (not changed)</t>
  </si>
  <si>
    <t xml:space="preserve">Revenue growth of +2-3% still contrasts with declining 2023-2025 revenue; consider flat-to-declining years first.</t>
  </si>
  <si>
    <t xml:space="preserve">Content cash spend is not modelled separately from capex; if "D&amp;A" includes content amortization, FCFF may be overstated.</t>
  </si>
  <si>
    <t xml:space="preserve">WACC inputs (beta, ERP, risk-free, capital structure) are illustrative placeholders, not sourced market data.</t>
  </si>
  <si>
    <t xml:space="preserve">DCF excludes synergies and integration costs; they are shown only in the synergy bridge and EPS analysis.</t>
  </si>
  <si>
    <t xml:space="preserve">End-of-year discounting is used; mid-year convention would raise value by roughly 4-5%.</t>
  </si>
  <si>
    <t xml:space="preserve">Fictional peer set and 8.0x multiple are not market data.</t>
  </si>
</sst>
</file>

<file path=xl/styles.xml><?xml version="1.0" encoding="utf-8"?>
<styleSheet xmlns="http://schemas.openxmlformats.org/spreadsheetml/2006/main">
  <numFmts count="10">
    <numFmt numFmtId="164" formatCode="General"/>
    <numFmt numFmtId="165" formatCode="0.0%;[RED]\(0.0%\);\-"/>
    <numFmt numFmtId="166" formatCode="0.0\x"/>
    <numFmt numFmtId="167" formatCode="#,##0.0;[RED]\(#,##0.0\);\-"/>
    <numFmt numFmtId="168" formatCode="0%"/>
    <numFmt numFmtId="169" formatCode="General"/>
    <numFmt numFmtId="170" formatCode="0.00\x"/>
    <numFmt numFmtId="171" formatCode="0.000"/>
    <numFmt numFmtId="172" formatCode="0.00"/>
    <numFmt numFmtId="173" formatCode="0.00;[RED]\(0.00\);\-"/>
  </numFmts>
  <fonts count="19">
    <font>
      <sz val="10"/>
      <name val="Arial"/>
      <family val="2"/>
    </font>
    <font>
      <sz val="10"/>
      <name val="Arial"/>
      <family val="0"/>
    </font>
    <font>
      <sz val="10"/>
      <name val="Arial"/>
      <family val="0"/>
    </font>
    <font>
      <sz val="10"/>
      <name val="Arial"/>
      <family val="0"/>
    </font>
    <font>
      <sz val="11"/>
      <color theme="1"/>
      <name val="Calibri"/>
      <family val="0"/>
      <charset val="1"/>
    </font>
    <font>
      <b val="true"/>
      <sz val="16"/>
      <color rgb="FFFFFFFF"/>
      <name val="Aptos"/>
      <family val="0"/>
      <charset val="1"/>
    </font>
    <font>
      <i val="true"/>
      <sz val="10"/>
      <color rgb="FF666666"/>
      <name val="Aptos"/>
      <family val="0"/>
      <charset val="1"/>
    </font>
    <font>
      <b val="true"/>
      <sz val="10"/>
      <color rgb="FFFFFFFF"/>
      <name val="Aptos"/>
      <family val="0"/>
      <charset val="1"/>
    </font>
    <font>
      <b val="true"/>
      <sz val="11"/>
      <color rgb="FF142B4A"/>
      <name val="Cambria"/>
      <family val="0"/>
      <charset val="1"/>
    </font>
    <font>
      <b val="true"/>
      <sz val="16"/>
      <color rgb="FFFFFFFF"/>
      <name val="Aptos Display"/>
      <family val="0"/>
      <charset val="1"/>
    </font>
    <font>
      <i val="true"/>
      <sz val="11"/>
      <color rgb="FF666666"/>
      <name val="Cambria"/>
      <family val="0"/>
      <charset val="1"/>
    </font>
    <font>
      <b val="true"/>
      <sz val="11"/>
      <color rgb="FFFFFFFF"/>
      <name val="Cambria"/>
      <family val="0"/>
      <charset val="1"/>
    </font>
    <font>
      <sz val="11"/>
      <color rgb="FF0000FF"/>
      <name val="Cambria"/>
      <family val="0"/>
      <charset val="1"/>
    </font>
    <font>
      <sz val="11"/>
      <color rgb="FF008000"/>
      <name val="Cambria"/>
      <family val="0"/>
      <charset val="1"/>
    </font>
    <font>
      <sz val="10"/>
      <color rgb="FF008000"/>
      <name val="Aptos"/>
      <family val="0"/>
      <charset val="1"/>
    </font>
    <font>
      <sz val="10"/>
      <color rgb="FF222222"/>
      <name val="Aptos"/>
      <family val="0"/>
      <charset val="1"/>
    </font>
    <font>
      <b val="true"/>
      <sz val="14"/>
      <name val="Aptos"/>
      <family val="0"/>
      <charset val="1"/>
    </font>
    <font>
      <i val="true"/>
      <sz val="10"/>
      <name val="Aptos"/>
      <family val="0"/>
      <charset val="1"/>
    </font>
    <font>
      <sz val="10"/>
      <name val="Aptos"/>
      <family val="0"/>
      <charset val="1"/>
    </font>
  </fonts>
  <fills count="6">
    <fill>
      <patternFill patternType="none"/>
    </fill>
    <fill>
      <patternFill patternType="gray125"/>
    </fill>
    <fill>
      <patternFill patternType="solid">
        <fgColor rgb="FF142B4A"/>
        <bgColor rgb="FF222222"/>
      </patternFill>
    </fill>
    <fill>
      <patternFill patternType="solid">
        <fgColor rgb="FF1F4E78"/>
        <bgColor rgb="FF142B4A"/>
      </patternFill>
    </fill>
    <fill>
      <patternFill patternType="solid">
        <fgColor rgb="FFD9EAF7"/>
        <bgColor rgb="FFD9E1F2"/>
      </patternFill>
    </fill>
    <fill>
      <patternFill patternType="solid">
        <fgColor rgb="FFFFF2CC"/>
        <bgColor rgb="FFFFFFFF"/>
      </patternFill>
    </fill>
  </fills>
  <borders count="3">
    <border diagonalUp="false" diagonalDown="false">
      <left/>
      <right/>
      <top/>
      <bottom/>
      <diagonal/>
    </border>
    <border diagonalUp="false" diagonalDown="false">
      <left/>
      <right/>
      <top/>
      <bottom style="thin">
        <color rgb="FFD9E1F2"/>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general" vertical="center" textRotation="0" wrapText="false" indent="0" shrinkToFit="false"/>
      <protection locked="true" hidden="false"/>
    </xf>
    <xf numFmtId="164" fontId="6" fillId="0" borderId="1" xfId="20" applyFont="true" applyBorder="true" applyAlignment="true" applyProtection="false">
      <alignment horizontal="general" vertical="center" textRotation="0" wrapText="true" indent="0" shrinkToFit="false"/>
      <protection locked="true" hidden="false"/>
    </xf>
    <xf numFmtId="164" fontId="7" fillId="3" borderId="1" xfId="20" applyFont="true" applyBorder="true" applyAlignment="true" applyProtection="false">
      <alignment horizontal="general" vertical="center" textRotation="0" wrapText="false" indent="0" shrinkToFit="false"/>
      <protection locked="true" hidden="false"/>
    </xf>
    <xf numFmtId="164" fontId="8" fillId="4" borderId="1" xfId="20" applyFont="true" applyBorder="true" applyAlignment="true" applyProtection="false">
      <alignment horizontal="general" vertical="center" textRotation="0" wrapText="true" indent="0" shrinkToFit="false"/>
      <protection locked="true" hidden="false"/>
    </xf>
    <xf numFmtId="164" fontId="4" fillId="0" borderId="1" xfId="20" applyFont="true" applyBorder="true" applyAlignment="true" applyProtection="false">
      <alignment horizontal="general" vertical="top" textRotation="0" wrapText="true" indent="0" shrinkToFit="false"/>
      <protection locked="true" hidden="false"/>
    </xf>
    <xf numFmtId="164" fontId="9" fillId="2" borderId="1" xfId="20" applyFont="true" applyBorder="true" applyAlignment="true" applyProtection="false">
      <alignment horizontal="general" vertical="center" textRotation="0" wrapText="false" indent="0" shrinkToFit="false"/>
      <protection locked="true" hidden="false"/>
    </xf>
    <xf numFmtId="164" fontId="10" fillId="0" borderId="1" xfId="20" applyFont="true" applyBorder="true" applyAlignment="true" applyProtection="false">
      <alignment horizontal="general" vertical="bottom" textRotation="0" wrapText="true" indent="0" shrinkToFit="false"/>
      <protection locked="true" hidden="false"/>
    </xf>
    <xf numFmtId="164" fontId="11" fillId="3" borderId="1" xfId="20" applyFont="true" applyBorder="true" applyAlignment="true" applyProtection="false">
      <alignment horizontal="general" vertical="bottom" textRotation="0" wrapText="true" indent="0" shrinkToFit="false"/>
      <protection locked="true" hidden="false"/>
    </xf>
    <xf numFmtId="164" fontId="8" fillId="4" borderId="1" xfId="20" applyFont="true" applyBorder="true" applyAlignment="true" applyProtection="false">
      <alignment horizontal="general" vertical="top" textRotation="0" wrapText="true" indent="0" shrinkToFit="false"/>
      <protection locked="true" hidden="false"/>
    </xf>
    <xf numFmtId="164" fontId="4" fillId="0" borderId="1" xfId="20" applyFont="true" applyBorder="true" applyAlignment="true" applyProtection="false">
      <alignment horizontal="general" vertical="center" textRotation="0" wrapText="true" indent="0" shrinkToFit="false"/>
      <protection locked="true" hidden="false"/>
    </xf>
    <xf numFmtId="165" fontId="12" fillId="5" borderId="1" xfId="20" applyFont="true" applyBorder="true" applyAlignment="true" applyProtection="false">
      <alignment horizontal="general" vertical="center" textRotation="0" wrapText="true" indent="0" shrinkToFit="false"/>
      <protection locked="true" hidden="false"/>
    </xf>
    <xf numFmtId="164" fontId="10" fillId="0" borderId="1" xfId="20" applyFont="true" applyBorder="true" applyAlignment="true" applyProtection="false">
      <alignment horizontal="general" vertical="center" textRotation="0" wrapText="true" indent="0" shrinkToFit="false"/>
      <protection locked="true" hidden="false"/>
    </xf>
    <xf numFmtId="166" fontId="12" fillId="5" borderId="1" xfId="20" applyFont="true" applyBorder="true" applyAlignment="true" applyProtection="false">
      <alignment horizontal="general" vertical="center" textRotation="0" wrapText="true" indent="0" shrinkToFit="false"/>
      <protection locked="true" hidden="false"/>
    </xf>
    <xf numFmtId="167" fontId="12" fillId="5" borderId="1" xfId="20" applyFont="true" applyBorder="true" applyAlignment="true" applyProtection="false">
      <alignment horizontal="general" vertical="center" textRotation="0" wrapText="true" indent="0" shrinkToFit="false"/>
      <protection locked="true" hidden="false"/>
    </xf>
    <xf numFmtId="167" fontId="13" fillId="0" borderId="1" xfId="20" applyFont="true" applyBorder="true" applyAlignment="true" applyProtection="false">
      <alignment horizontal="general" vertical="center" textRotation="0" wrapText="true" indent="0" shrinkToFit="false"/>
      <protection locked="true" hidden="false"/>
    </xf>
    <xf numFmtId="168" fontId="12" fillId="5" borderId="1" xfId="20" applyFont="true" applyBorder="true" applyAlignment="true" applyProtection="false">
      <alignment horizontal="general" vertical="center" textRotation="0" wrapText="true" indent="0" shrinkToFit="false"/>
      <protection locked="true" hidden="false"/>
    </xf>
    <xf numFmtId="164" fontId="12" fillId="5" borderId="1" xfId="20" applyFont="true" applyBorder="true" applyAlignment="true" applyProtection="false">
      <alignment horizontal="general" vertical="center" textRotation="0" wrapText="true" indent="0" shrinkToFit="false"/>
      <protection locked="true" hidden="false"/>
    </xf>
    <xf numFmtId="164" fontId="7" fillId="3" borderId="0" xfId="20" applyFont="true" applyBorder="false" applyAlignment="true" applyProtection="false">
      <alignment horizontal="center" vertical="center" textRotation="0" wrapText="true" indent="0" shrinkToFit="false"/>
      <protection locked="true" hidden="false"/>
    </xf>
    <xf numFmtId="164" fontId="7" fillId="3" borderId="1" xfId="20" applyFont="true" applyBorder="true" applyAlignment="true" applyProtection="false">
      <alignment horizontal="center" vertical="center" textRotation="0" wrapText="true" indent="0" shrinkToFit="false"/>
      <protection locked="true" hidden="false"/>
    </xf>
    <xf numFmtId="167" fontId="4" fillId="0" borderId="1" xfId="20" applyFont="false" applyBorder="true" applyAlignment="true" applyProtection="false">
      <alignment horizontal="general" vertical="center" textRotation="0" wrapText="true" indent="0" shrinkToFit="false"/>
      <protection locked="true" hidden="false"/>
    </xf>
    <xf numFmtId="167" fontId="14" fillId="0" borderId="1" xfId="20" applyFont="true" applyBorder="true" applyAlignment="true" applyProtection="false">
      <alignment horizontal="general" vertical="center" textRotation="0" wrapText="true" indent="0" shrinkToFit="false"/>
      <protection locked="true" hidden="false"/>
    </xf>
    <xf numFmtId="165" fontId="14" fillId="0" borderId="1" xfId="20" applyFont="true" applyBorder="true" applyAlignment="true" applyProtection="false">
      <alignment horizontal="general" vertical="center" textRotation="0" wrapText="true" indent="0" shrinkToFit="false"/>
      <protection locked="true" hidden="false"/>
    </xf>
    <xf numFmtId="165" fontId="15" fillId="0" borderId="1" xfId="20" applyFont="true" applyBorder="true" applyAlignment="true" applyProtection="false">
      <alignment horizontal="general" vertical="center" textRotation="0" wrapText="true" indent="0" shrinkToFit="false"/>
      <protection locked="true" hidden="false"/>
    </xf>
    <xf numFmtId="167" fontId="15" fillId="0" borderId="1" xfId="20" applyFont="true" applyBorder="true" applyAlignment="true" applyProtection="false">
      <alignment horizontal="general" vertical="center" textRotation="0" wrapText="true" indent="0" shrinkToFit="false"/>
      <protection locked="true" hidden="false"/>
    </xf>
    <xf numFmtId="169" fontId="15" fillId="0" borderId="1" xfId="20" applyFont="true" applyBorder="true" applyAlignment="true" applyProtection="false">
      <alignment horizontal="general" vertical="center" textRotation="0" wrapText="true" indent="0" shrinkToFit="false"/>
      <protection locked="true" hidden="false"/>
    </xf>
    <xf numFmtId="170" fontId="14" fillId="0" borderId="1" xfId="20" applyFont="true" applyBorder="true" applyAlignment="true" applyProtection="false">
      <alignment horizontal="general" vertical="center" textRotation="0" wrapText="true" indent="0" shrinkToFit="false"/>
      <protection locked="true" hidden="false"/>
    </xf>
    <xf numFmtId="166" fontId="15" fillId="0" borderId="1" xfId="20" applyFont="true" applyBorder="true" applyAlignment="true" applyProtection="false">
      <alignment horizontal="general" vertical="center" textRotation="0" wrapText="true" indent="0" shrinkToFit="false"/>
      <protection locked="true" hidden="false"/>
    </xf>
    <xf numFmtId="166" fontId="14" fillId="0" borderId="1" xfId="20" applyFont="true" applyBorder="true" applyAlignment="true" applyProtection="false">
      <alignment horizontal="general" vertical="center" textRotation="0" wrapText="true" indent="0" shrinkToFit="false"/>
      <protection locked="true" hidden="false"/>
    </xf>
    <xf numFmtId="166" fontId="4" fillId="0" borderId="1" xfId="20" applyFont="false" applyBorder="true" applyAlignment="true" applyProtection="false">
      <alignment horizontal="general" vertical="center" textRotation="0" wrapText="true" indent="0" shrinkToFit="false"/>
      <protection locked="true" hidden="false"/>
    </xf>
    <xf numFmtId="165" fontId="15" fillId="0" borderId="1" xfId="20" applyFont="true" applyBorder="true" applyAlignment="true" applyProtection="false">
      <alignment horizontal="right" vertical="bottom" textRotation="0" wrapText="false" indent="0" shrinkToFit="false"/>
      <protection locked="true" hidden="false"/>
    </xf>
    <xf numFmtId="171" fontId="14" fillId="0" borderId="1" xfId="20" applyFont="true" applyBorder="true" applyAlignment="true" applyProtection="false">
      <alignment horizontal="general" vertical="center" textRotation="0" wrapText="true" indent="0" shrinkToFit="false"/>
      <protection locked="true" hidden="false"/>
    </xf>
    <xf numFmtId="172" fontId="14" fillId="0" borderId="1" xfId="20" applyFont="true" applyBorder="true" applyAlignment="true" applyProtection="false">
      <alignment horizontal="general" vertical="center" textRotation="0" wrapText="true" indent="0" shrinkToFit="false"/>
      <protection locked="true" hidden="false"/>
    </xf>
    <xf numFmtId="173" fontId="15" fillId="0" borderId="1" xfId="20" applyFont="true" applyBorder="true" applyAlignment="true" applyProtection="false">
      <alignment horizontal="general" vertical="center" textRotation="0" wrapText="true" indent="0" shrinkToFit="false"/>
      <protection locked="true" hidden="false"/>
    </xf>
    <xf numFmtId="172" fontId="15" fillId="0" borderId="1" xfId="20" applyFont="true" applyBorder="true" applyAlignment="true" applyProtection="false">
      <alignment horizontal="general" vertical="center" textRotation="0" wrapText="true" indent="0" shrinkToFit="false"/>
      <protection locked="true" hidden="false"/>
    </xf>
    <xf numFmtId="165" fontId="15" fillId="0" borderId="1" xfId="20" applyFont="true" applyBorder="true" applyAlignment="true" applyProtection="false">
      <alignment horizontal="right" vertical="bottom" textRotation="0" wrapText="true" indent="0" shrinkToFit="false"/>
      <protection locked="true" hidden="false"/>
    </xf>
    <xf numFmtId="165" fontId="4" fillId="0" borderId="1" xfId="20" applyFont="false" applyBorder="true" applyAlignment="true" applyProtection="false">
      <alignment horizontal="general" vertical="center" textRotation="0" wrapText="true" indent="0" shrinkToFit="false"/>
      <protection locked="true" hidden="false"/>
    </xf>
    <xf numFmtId="173" fontId="14" fillId="0" borderId="1" xfId="20" applyFont="true" applyBorder="true" applyAlignment="true" applyProtection="false">
      <alignment horizontal="general" vertical="center" textRotation="0" wrapText="true" indent="0" shrinkToFit="false"/>
      <protection locked="true" hidden="false"/>
    </xf>
    <xf numFmtId="164" fontId="16" fillId="0" borderId="0" xfId="20" applyFont="true" applyBorder="false" applyAlignment="false" applyProtection="false">
      <alignment horizontal="general" vertical="bottom" textRotation="0" wrapText="false" indent="0" shrinkToFit="false"/>
      <protection locked="true" hidden="false"/>
    </xf>
    <xf numFmtId="164" fontId="17" fillId="0" borderId="0" xfId="20" applyFont="true" applyBorder="false" applyAlignment="false" applyProtection="false">
      <alignment horizontal="general" vertical="bottom" textRotation="0" wrapText="false" indent="0" shrinkToFit="false"/>
      <protection locked="true" hidden="false"/>
    </xf>
    <xf numFmtId="164" fontId="7" fillId="3" borderId="2" xfId="20" applyFont="true" applyBorder="true" applyAlignment="true" applyProtection="false">
      <alignment horizontal="general" vertical="top" textRotation="0" wrapText="true" indent="0" shrinkToFit="false"/>
      <protection locked="true" hidden="false"/>
    </xf>
    <xf numFmtId="164" fontId="18" fillId="0" borderId="2" xfId="20" applyFont="true" applyBorder="true" applyAlignment="true" applyProtection="false">
      <alignment horizontal="general" vertical="top" textRotation="0" wrapText="true" indent="0" shrinkToFit="false"/>
      <protection locked="true" hidden="false"/>
    </xf>
    <xf numFmtId="167" fontId="18" fillId="0" borderId="2" xfId="20" applyFont="true" applyBorder="true" applyAlignment="true" applyProtection="false">
      <alignment horizontal="right" vertical="bottom" textRotation="0" wrapText="false" indent="0" shrinkToFit="false"/>
      <protection locked="true" hidden="false"/>
    </xf>
    <xf numFmtId="166" fontId="18" fillId="0" borderId="2" xfId="20" applyFont="true" applyBorder="true" applyAlignment="true" applyProtection="false">
      <alignment horizontal="right" vertical="bottom" textRotation="0" wrapText="false" indent="0" shrinkToFit="false"/>
      <protection locked="true" hidden="false"/>
    </xf>
    <xf numFmtId="165" fontId="18" fillId="0" borderId="2" xfId="20" applyFont="true" applyBorder="true" applyAlignment="true" applyProtection="false">
      <alignment horizontal="right" vertical="bottom" textRotation="0" wrapText="false" indent="0" shrinkToFit="false"/>
      <protection locked="true" hidden="false"/>
    </xf>
    <xf numFmtId="173" fontId="18" fillId="0" borderId="2" xfId="20" applyFont="true" applyBorder="true" applyAlignment="true" applyProtection="false">
      <alignment horizontal="righ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42B4A"/>
      <rgbColor rgb="FF339966"/>
      <rgbColor rgb="FF003300"/>
      <rgbColor rgb="FF333300"/>
      <rgbColor rgb="FF993300"/>
      <rgbColor rgb="FF993366"/>
      <rgbColor rgb="FF1F4E78"/>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 t="s">
        <v>0</v>
      </c>
      <c r="B1" s="1"/>
    </row>
    <row r="2" customFormat="false" ht="30" hidden="false" customHeight="true" outlineLevel="0" collapsed="false">
      <c r="A2" s="2" t="s">
        <v>1</v>
      </c>
      <c r="B2" s="2"/>
    </row>
    <row r="4" customFormat="false" ht="15" hidden="false" customHeight="false" outlineLevel="0" collapsed="false">
      <c r="A4" s="3" t="s">
        <v>2</v>
      </c>
      <c r="B4" s="3"/>
    </row>
    <row r="5" customFormat="false" ht="42" hidden="false" customHeight="true" outlineLevel="0" collapsed="false">
      <c r="A5" s="4" t="s">
        <v>3</v>
      </c>
      <c r="B5" s="5" t="s">
        <v>4</v>
      </c>
    </row>
    <row r="6" customFormat="false" ht="42" hidden="false" customHeight="true" outlineLevel="0" collapsed="false">
      <c r="A6" s="4" t="s">
        <v>5</v>
      </c>
      <c r="B6" s="5" t="s">
        <v>6</v>
      </c>
    </row>
    <row r="7" customFormat="false" ht="42" hidden="false" customHeight="true" outlineLevel="0" collapsed="false">
      <c r="A7" s="4" t="s">
        <v>7</v>
      </c>
      <c r="B7" s="5" t="s">
        <v>8</v>
      </c>
    </row>
    <row r="8" customFormat="false" ht="30" hidden="false" customHeight="true" outlineLevel="0" collapsed="false">
      <c r="A8" s="4" t="s">
        <v>9</v>
      </c>
      <c r="B8" s="5" t="s">
        <v>10</v>
      </c>
    </row>
    <row r="9" customFormat="false" ht="42" hidden="false" customHeight="true" outlineLevel="0" collapsed="false">
      <c r="A9" s="4" t="s">
        <v>11</v>
      </c>
      <c r="B9" s="5" t="s">
        <v>12</v>
      </c>
    </row>
    <row r="10" customFormat="false" ht="30" hidden="false" customHeight="true" outlineLevel="0" collapsed="false">
      <c r="A10" s="4" t="s">
        <v>13</v>
      </c>
      <c r="B10" s="5" t="s">
        <v>14</v>
      </c>
    </row>
    <row r="11" customFormat="false" ht="42" hidden="false" customHeight="true" outlineLevel="0" collapsed="false">
      <c r="A11" s="4" t="s">
        <v>15</v>
      </c>
      <c r="B11" s="5" t="s">
        <v>16</v>
      </c>
    </row>
    <row r="12" customFormat="false" ht="42" hidden="false" customHeight="true" outlineLevel="0" collapsed="false">
      <c r="A12" s="4" t="s">
        <v>17</v>
      </c>
      <c r="B12" s="5" t="s">
        <v>18</v>
      </c>
    </row>
    <row r="13" customFormat="false" ht="42" hidden="false" customHeight="true" outlineLevel="0" collapsed="false">
      <c r="A13" s="4" t="s">
        <v>19</v>
      </c>
      <c r="B13" s="5" t="s">
        <v>20</v>
      </c>
    </row>
    <row r="14" customFormat="false" ht="42" hidden="false" customHeight="true" outlineLevel="0" collapsed="false">
      <c r="A14" s="4" t="s">
        <v>21</v>
      </c>
      <c r="B14" s="5" t="s">
        <v>22</v>
      </c>
    </row>
    <row r="17" customFormat="false" ht="15" hidden="false" customHeight="false" outlineLevel="0" collapsed="false">
      <c r="A17" s="3" t="s">
        <v>23</v>
      </c>
      <c r="B17" s="3"/>
    </row>
    <row r="18" customFormat="false" ht="15" hidden="false" customHeight="false" outlineLevel="0" collapsed="false">
      <c r="A18" s="4" t="s">
        <v>24</v>
      </c>
      <c r="B18" s="5" t="s">
        <v>25</v>
      </c>
    </row>
    <row r="19" customFormat="false" ht="15" hidden="false" customHeight="false" outlineLevel="0" collapsed="false">
      <c r="A19" s="4" t="s">
        <v>26</v>
      </c>
      <c r="B19" s="5" t="s">
        <v>27</v>
      </c>
    </row>
    <row r="20" customFormat="false" ht="15" hidden="false" customHeight="false" outlineLevel="0" collapsed="false">
      <c r="A20" s="4" t="s">
        <v>28</v>
      </c>
      <c r="B20" s="5" t="s">
        <v>29</v>
      </c>
    </row>
    <row r="21" customFormat="false" ht="15" hidden="false" customHeight="false" outlineLevel="0" collapsed="false">
      <c r="A21" s="4" t="s">
        <v>30</v>
      </c>
      <c r="B21" s="5" t="s">
        <v>31</v>
      </c>
    </row>
    <row r="22" customFormat="false" ht="15" hidden="false" customHeight="false" outlineLevel="0" collapsed="false">
      <c r="A22" s="4" t="s">
        <v>32</v>
      </c>
      <c r="B22" s="5" t="s">
        <v>33</v>
      </c>
    </row>
    <row r="23" customFormat="false" ht="15" hidden="false" customHeight="false" outlineLevel="0" collapsed="false">
      <c r="A23" s="4" t="s">
        <v>34</v>
      </c>
      <c r="B23" s="5" t="s">
        <v>35</v>
      </c>
    </row>
    <row r="24" customFormat="false" ht="15" hidden="false" customHeight="false" outlineLevel="0" collapsed="false">
      <c r="A24" s="4" t="s">
        <v>36</v>
      </c>
      <c r="B24" s="5" t="s">
        <v>37</v>
      </c>
    </row>
  </sheetData>
  <mergeCells count="4">
    <mergeCell ref="A1:B1"/>
    <mergeCell ref="A2:B2"/>
    <mergeCell ref="A4:B4"/>
    <mergeCell ref="A17:B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5"/>
  </cols>
  <sheetData>
    <row r="1" customFormat="false" ht="30" hidden="false" customHeight="true" outlineLevel="0" collapsed="false">
      <c r="A1" s="6" t="s">
        <v>38</v>
      </c>
      <c r="B1" s="6"/>
    </row>
    <row r="2" customFormat="false" ht="15" hidden="false" customHeight="true" outlineLevel="0" collapsed="false">
      <c r="A2" s="7" t="s">
        <v>39</v>
      </c>
      <c r="B2" s="7"/>
    </row>
    <row r="4" customFormat="false" ht="15" hidden="false" customHeight="false" outlineLevel="0" collapsed="false">
      <c r="A4" s="8" t="s">
        <v>40</v>
      </c>
      <c r="B4" s="8" t="s">
        <v>41</v>
      </c>
    </row>
    <row r="5" customFormat="false" ht="57.75" hidden="false" customHeight="true" outlineLevel="0" collapsed="false">
      <c r="A5" s="9" t="s">
        <v>42</v>
      </c>
      <c r="B5" s="5" t="s">
        <v>43</v>
      </c>
    </row>
    <row r="6" customFormat="false" ht="57.75" hidden="false" customHeight="true" outlineLevel="0" collapsed="false">
      <c r="A6" s="9" t="s">
        <v>44</v>
      </c>
      <c r="B6" s="5" t="s">
        <v>45</v>
      </c>
    </row>
    <row r="7" customFormat="false" ht="57.75" hidden="false" customHeight="true" outlineLevel="0" collapsed="false">
      <c r="A7" s="9" t="s">
        <v>46</v>
      </c>
      <c r="B7" s="5" t="s">
        <v>47</v>
      </c>
    </row>
    <row r="8" customFormat="false" ht="57.75" hidden="false" customHeight="true" outlineLevel="0" collapsed="false">
      <c r="A8" s="9" t="s">
        <v>48</v>
      </c>
      <c r="B8" s="5" t="s">
        <v>49</v>
      </c>
    </row>
    <row r="9" customFormat="false" ht="57.75" hidden="false" customHeight="true" outlineLevel="0" collapsed="false">
      <c r="A9" s="9" t="s">
        <v>50</v>
      </c>
      <c r="B9" s="5" t="s">
        <v>51</v>
      </c>
    </row>
    <row r="10" customFormat="false" ht="57.75" hidden="false" customHeight="true" outlineLevel="0" collapsed="false">
      <c r="A10" s="9" t="s">
        <v>52</v>
      </c>
      <c r="B10" s="5" t="s">
        <v>53</v>
      </c>
    </row>
    <row r="11" customFormat="false" ht="57.75" hidden="false" customHeight="true" outlineLevel="0" collapsed="false">
      <c r="A11" s="9" t="s">
        <v>54</v>
      </c>
      <c r="B11" s="5" t="s">
        <v>55</v>
      </c>
    </row>
    <row r="12" customFormat="false" ht="57.75" hidden="false" customHeight="true" outlineLevel="0" collapsed="false">
      <c r="A12" s="9" t="s">
        <v>56</v>
      </c>
      <c r="B12" s="5" t="s">
        <v>57</v>
      </c>
    </row>
    <row r="13" customFormat="false" ht="57.75" hidden="false" customHeight="true" outlineLevel="0" collapsed="false">
      <c r="A13" s="9" t="s">
        <v>58</v>
      </c>
      <c r="B13" s="5" t="s">
        <v>59</v>
      </c>
    </row>
    <row r="14" customFormat="false" ht="57.75" hidden="false" customHeight="true" outlineLevel="0" collapsed="false">
      <c r="A14" s="9" t="s">
        <v>60</v>
      </c>
      <c r="B14" s="5" t="s">
        <v>61</v>
      </c>
    </row>
    <row r="15" customFormat="false" ht="57.75" hidden="false" customHeight="true" outlineLevel="0" collapsed="false">
      <c r="A15" s="9" t="s">
        <v>62</v>
      </c>
      <c r="B15" s="5" t="str">
        <f aca="false">"Model offer equity purchase price: $"&amp;TEXT(Transaction!B7,"0.0")&amp;"bn vs ~$81bn reported equity value (announcement of 27-Feb-2026). The model equity is a thin residual and is not comparable. Source: https://www.wlrk.com/transaction/warner-bros-discovery-in-its-110-billion-acquisition-by-paramount/"</f>
        <v>Model offer equity purchase price: $2.4bn vs ~$81bn reported equity value (announcement of 27-Feb-2026). The model equity is a thin residual and is not comparable. Source: https://www.wlrk.com/transaction/warner-bros-discovery-in-its-110-billion-acquisition-by-paramount/</v>
      </c>
    </row>
    <row r="16" customFormat="false" ht="57.75" hidden="false" customHeight="true" outlineLevel="0" collapsed="false">
      <c r="A16" s="9" t="s">
        <v>63</v>
      </c>
      <c r="B16" s="5" t="str">
        <f aca="false">"Model implied transaction EV: $"&amp;TEXT(Transaction!B12,"0.0")&amp;"bn vs ~$110bn reported enterprise value. Source: https://www.clearygottlieb.com/news-and-insights/news-listing/paramount-skydances-110-billion-acquisition-of-warner-bros-discovery"</f>
        <v>Model implied transaction EV: $44.4bn vs ~$110bn reported enterprise value. Source: https://www.clearygottlieb.com/news-and-insights/news-listing/paramount-skydances-110-billion-acquisition-of-warner-bros-discovery</v>
      </c>
    </row>
    <row r="17" customFormat="false" ht="57.75" hidden="false" customHeight="true" outlineLevel="0" collapsed="false">
      <c r="A17" s="9" t="s">
        <v>64</v>
      </c>
      <c r="B17" s="5" t="str">
        <f aca="false">"Model target net debt: $"&amp;TEXT(Historical!D28,"0.0")&amp;"bn vs ~$29bn implied by reported EV less equity ($110bn - $81bn). The fictional $42bn is well above this."</f>
        <v>Model target net debt: $42.0bn vs ~$29bn implied by reported EV less equity ($110bn - $81bn). The fictional $42bn is well above this.</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76"/>
  </cols>
  <sheetData>
    <row r="1" customFormat="false" ht="30" hidden="false" customHeight="true" outlineLevel="0" collapsed="false">
      <c r="A1" s="1" t="s">
        <v>65</v>
      </c>
      <c r="B1" s="1"/>
      <c r="C1" s="1"/>
    </row>
    <row r="2" customFormat="false" ht="30" hidden="false" customHeight="true" outlineLevel="0" collapsed="false">
      <c r="A2" s="2" t="s">
        <v>66</v>
      </c>
      <c r="B2" s="2"/>
      <c r="C2" s="2"/>
    </row>
    <row r="4" customFormat="false" ht="15" hidden="false" customHeight="false" outlineLevel="0" collapsed="false">
      <c r="A4" s="3" t="s">
        <v>67</v>
      </c>
      <c r="B4" s="3"/>
      <c r="C4" s="3"/>
    </row>
    <row r="5" customFormat="false" ht="15" hidden="false" customHeight="false" outlineLevel="0" collapsed="false">
      <c r="A5" s="10" t="s">
        <v>68</v>
      </c>
      <c r="B5" s="11" t="n">
        <v>0.02</v>
      </c>
      <c r="C5" s="12" t="s">
        <v>69</v>
      </c>
    </row>
    <row r="6" customFormat="false" ht="15" hidden="false" customHeight="false" outlineLevel="0" collapsed="false">
      <c r="A6" s="10" t="s">
        <v>70</v>
      </c>
      <c r="B6" s="11" t="n">
        <v>0.025</v>
      </c>
      <c r="C6" s="12" t="s">
        <v>71</v>
      </c>
    </row>
    <row r="7" customFormat="false" ht="15" hidden="false" customHeight="false" outlineLevel="0" collapsed="false">
      <c r="A7" s="10" t="s">
        <v>72</v>
      </c>
      <c r="B7" s="11" t="n">
        <v>0.03</v>
      </c>
      <c r="C7" s="12" t="s">
        <v>71</v>
      </c>
    </row>
    <row r="8" customFormat="false" ht="15" hidden="false" customHeight="false" outlineLevel="0" collapsed="false">
      <c r="A8" s="10" t="s">
        <v>73</v>
      </c>
      <c r="B8" s="11" t="n">
        <v>0.03</v>
      </c>
      <c r="C8" s="12" t="s">
        <v>71</v>
      </c>
    </row>
    <row r="9" customFormat="false" ht="15" hidden="false" customHeight="false" outlineLevel="0" collapsed="false">
      <c r="A9" s="10" t="s">
        <v>74</v>
      </c>
      <c r="B9" s="11" t="n">
        <v>0.03</v>
      </c>
      <c r="C9" s="12" t="s">
        <v>71</v>
      </c>
    </row>
    <row r="10" customFormat="false" ht="28.35" hidden="false" customHeight="false" outlineLevel="0" collapsed="false">
      <c r="A10" s="10" t="s">
        <v>75</v>
      </c>
      <c r="B10" s="11" t="n">
        <v>0.125</v>
      </c>
      <c r="C10" s="12" t="s">
        <v>76</v>
      </c>
    </row>
    <row r="11" customFormat="false" ht="15" hidden="false" customHeight="false" outlineLevel="0" collapsed="false">
      <c r="A11" s="10" t="s">
        <v>77</v>
      </c>
      <c r="B11" s="11" t="n">
        <v>0.13</v>
      </c>
      <c r="C11" s="12" t="s">
        <v>78</v>
      </c>
    </row>
    <row r="12" customFormat="false" ht="15" hidden="false" customHeight="false" outlineLevel="0" collapsed="false">
      <c r="A12" s="10" t="s">
        <v>79</v>
      </c>
      <c r="B12" s="11" t="n">
        <v>0.135</v>
      </c>
      <c r="C12" s="12" t="s">
        <v>78</v>
      </c>
    </row>
    <row r="13" customFormat="false" ht="15" hidden="false" customHeight="false" outlineLevel="0" collapsed="false">
      <c r="A13" s="10" t="s">
        <v>80</v>
      </c>
      <c r="B13" s="11" t="n">
        <v>0.14</v>
      </c>
      <c r="C13" s="12" t="s">
        <v>78</v>
      </c>
    </row>
    <row r="14" customFormat="false" ht="15" hidden="false" customHeight="false" outlineLevel="0" collapsed="false">
      <c r="A14" s="10" t="s">
        <v>81</v>
      </c>
      <c r="B14" s="11" t="n">
        <v>0.145</v>
      </c>
      <c r="C14" s="12" t="s">
        <v>78</v>
      </c>
    </row>
    <row r="15" customFormat="false" ht="15" hidden="false" customHeight="false" outlineLevel="0" collapsed="false">
      <c r="A15" s="10" t="s">
        <v>82</v>
      </c>
      <c r="B15" s="11" t="n">
        <v>0.07</v>
      </c>
      <c r="C15" s="12" t="s">
        <v>83</v>
      </c>
    </row>
    <row r="16" customFormat="false" ht="15" hidden="false" customHeight="false" outlineLevel="0" collapsed="false">
      <c r="A16" s="10" t="s">
        <v>84</v>
      </c>
      <c r="B16" s="11" t="n">
        <v>0.04</v>
      </c>
      <c r="C16" s="12" t="s">
        <v>85</v>
      </c>
    </row>
    <row r="17" customFormat="false" ht="15" hidden="false" customHeight="false" outlineLevel="0" collapsed="false">
      <c r="A17" s="10" t="s">
        <v>86</v>
      </c>
      <c r="B17" s="11" t="n">
        <v>0.25</v>
      </c>
      <c r="C17" s="12" t="s">
        <v>87</v>
      </c>
    </row>
    <row r="18" customFormat="false" ht="15" hidden="false" customHeight="false" outlineLevel="0" collapsed="false">
      <c r="A18" s="10" t="s">
        <v>88</v>
      </c>
      <c r="B18" s="11" t="n">
        <v>0.02</v>
      </c>
      <c r="C18" s="12" t="s">
        <v>89</v>
      </c>
    </row>
    <row r="19" customFormat="false" ht="15" hidden="false" customHeight="false" outlineLevel="0" collapsed="false">
      <c r="A19" s="10" t="s">
        <v>90</v>
      </c>
      <c r="B19" s="11" t="n">
        <v>0.042</v>
      </c>
      <c r="C19" s="12" t="s">
        <v>91</v>
      </c>
    </row>
    <row r="20" customFormat="false" ht="15" hidden="false" customHeight="false" outlineLevel="0" collapsed="false">
      <c r="A20" s="10" t="s">
        <v>92</v>
      </c>
      <c r="B20" s="11" t="n">
        <v>0.055</v>
      </c>
      <c r="C20" s="12" t="s">
        <v>93</v>
      </c>
    </row>
    <row r="21" customFormat="false" ht="15" hidden="false" customHeight="false" outlineLevel="0" collapsed="false">
      <c r="A21" s="10" t="s">
        <v>94</v>
      </c>
      <c r="B21" s="13" t="n">
        <v>1.15</v>
      </c>
      <c r="C21" s="12" t="s">
        <v>95</v>
      </c>
    </row>
    <row r="22" customFormat="false" ht="15" hidden="false" customHeight="false" outlineLevel="0" collapsed="false">
      <c r="A22" s="10" t="s">
        <v>96</v>
      </c>
      <c r="B22" s="14" t="n">
        <v>0.065</v>
      </c>
      <c r="C22" s="12" t="s">
        <v>97</v>
      </c>
    </row>
    <row r="23" customFormat="false" ht="15" hidden="false" customHeight="false" outlineLevel="0" collapsed="false">
      <c r="A23" s="10" t="s">
        <v>98</v>
      </c>
      <c r="B23" s="11" t="n">
        <v>0.25</v>
      </c>
      <c r="C23" s="12" t="s">
        <v>99</v>
      </c>
    </row>
    <row r="24" customFormat="false" ht="15" hidden="false" customHeight="false" outlineLevel="0" collapsed="false">
      <c r="A24" s="10" t="s">
        <v>100</v>
      </c>
      <c r="B24" s="11" t="n">
        <v>0.025</v>
      </c>
      <c r="C24" s="12" t="s">
        <v>101</v>
      </c>
    </row>
    <row r="25" customFormat="false" ht="15" hidden="false" customHeight="false" outlineLevel="0" collapsed="false">
      <c r="A25" s="10" t="s">
        <v>102</v>
      </c>
      <c r="B25" s="13" t="n">
        <v>8</v>
      </c>
      <c r="C25" s="12" t="s">
        <v>103</v>
      </c>
    </row>
    <row r="26" customFormat="false" ht="15" hidden="false" customHeight="false" outlineLevel="0" collapsed="false">
      <c r="A26" s="10" t="s">
        <v>104</v>
      </c>
      <c r="B26" s="11" t="n">
        <v>0.2</v>
      </c>
      <c r="C26" s="12" t="s">
        <v>105</v>
      </c>
    </row>
    <row r="27" customFormat="false" ht="15" hidden="false" customHeight="false" outlineLevel="0" collapsed="false">
      <c r="A27" s="10" t="s">
        <v>106</v>
      </c>
      <c r="B27" s="11" t="n">
        <v>0.015</v>
      </c>
      <c r="C27" s="12" t="s">
        <v>107</v>
      </c>
    </row>
    <row r="28" customFormat="false" ht="15" hidden="false" customHeight="false" outlineLevel="0" collapsed="false">
      <c r="A28" s="10" t="s">
        <v>108</v>
      </c>
      <c r="B28" s="14" t="n">
        <v>14</v>
      </c>
      <c r="C28" s="12" t="s">
        <v>109</v>
      </c>
    </row>
    <row r="29" customFormat="false" ht="28.35" hidden="false" customHeight="false" outlineLevel="0" collapsed="false">
      <c r="A29" s="10" t="s">
        <v>110</v>
      </c>
      <c r="B29" s="15" t="n">
        <f aca="false">Historical!D28-B28</f>
        <v>28</v>
      </c>
      <c r="C29" s="12" t="s">
        <v>111</v>
      </c>
    </row>
    <row r="30" customFormat="false" ht="15" hidden="false" customHeight="false" outlineLevel="0" collapsed="false">
      <c r="A30" s="10" t="s">
        <v>112</v>
      </c>
      <c r="B30" s="11" t="n">
        <v>0.55</v>
      </c>
      <c r="C30" s="12" t="s">
        <v>113</v>
      </c>
    </row>
    <row r="31" customFormat="false" ht="28.35" hidden="false" customHeight="false" outlineLevel="0" collapsed="false">
      <c r="A31" s="10" t="s">
        <v>114</v>
      </c>
      <c r="B31" s="15" t="n">
        <f aca="false">Historical!D13</f>
        <v>-0.4</v>
      </c>
      <c r="C31" s="12" t="s">
        <v>115</v>
      </c>
    </row>
    <row r="32" customFormat="false" ht="15" hidden="false" customHeight="false" outlineLevel="0" collapsed="false">
      <c r="A32" s="10" t="s">
        <v>116</v>
      </c>
      <c r="B32" s="14" t="n">
        <v>0.7</v>
      </c>
      <c r="C32" s="12" t="s">
        <v>117</v>
      </c>
    </row>
    <row r="33" customFormat="false" ht="28.35" hidden="false" customHeight="false" outlineLevel="0" collapsed="false">
      <c r="A33" s="10" t="s">
        <v>118</v>
      </c>
      <c r="B33" s="15" t="n">
        <f aca="false">Historical!D27</f>
        <v>-1</v>
      </c>
      <c r="C33" s="12" t="s">
        <v>115</v>
      </c>
    </row>
    <row r="34" customFormat="false" ht="15" hidden="false" customHeight="false" outlineLevel="0" collapsed="false">
      <c r="A34" s="10" t="s">
        <v>119</v>
      </c>
      <c r="B34" s="11" t="n">
        <v>1.5</v>
      </c>
      <c r="C34" s="12" t="s">
        <v>120</v>
      </c>
    </row>
    <row r="35" customFormat="false" ht="15" hidden="false" customHeight="false" outlineLevel="0" collapsed="false">
      <c r="A35" s="10" t="s">
        <v>121</v>
      </c>
      <c r="B35" s="11" t="n">
        <v>0.35</v>
      </c>
      <c r="C35" s="12" t="s">
        <v>122</v>
      </c>
    </row>
    <row r="36" customFormat="false" ht="15" hidden="false" customHeight="false" outlineLevel="0" collapsed="false">
      <c r="A36" s="10" t="s">
        <v>123</v>
      </c>
      <c r="B36" s="14" t="n">
        <v>1</v>
      </c>
      <c r="C36" s="12" t="s">
        <v>124</v>
      </c>
    </row>
    <row r="37" customFormat="false" ht="15" hidden="false" customHeight="false" outlineLevel="0" collapsed="false">
      <c r="A37" s="10" t="s">
        <v>125</v>
      </c>
      <c r="B37" s="14" t="n">
        <v>0.25</v>
      </c>
      <c r="C37" s="12" t="s">
        <v>126</v>
      </c>
    </row>
    <row r="38" customFormat="false" ht="15" hidden="false" customHeight="false" outlineLevel="0" collapsed="false">
      <c r="A38" s="10" t="s">
        <v>127</v>
      </c>
      <c r="B38" s="14" t="n">
        <v>15</v>
      </c>
      <c r="C38" s="12" t="s">
        <v>128</v>
      </c>
    </row>
    <row r="39" customFormat="false" ht="15" hidden="false" customHeight="false" outlineLevel="0" collapsed="false">
      <c r="A39" s="10" t="s">
        <v>129</v>
      </c>
      <c r="B39" s="11" t="n">
        <v>0.25</v>
      </c>
      <c r="C39" s="12" t="s">
        <v>130</v>
      </c>
    </row>
    <row r="40" customFormat="false" ht="28.35" hidden="false" customHeight="false" outlineLevel="0" collapsed="false">
      <c r="A40" s="10" t="s">
        <v>131</v>
      </c>
      <c r="B40" s="16" t="n">
        <v>1</v>
      </c>
      <c r="C40" s="12" t="s">
        <v>132</v>
      </c>
    </row>
    <row r="43" customFormat="false" ht="15" hidden="false" customHeight="false" outlineLevel="0" collapsed="false">
      <c r="A43" s="3" t="s">
        <v>133</v>
      </c>
      <c r="B43" s="3"/>
      <c r="C43" s="3"/>
    </row>
    <row r="44" customFormat="false" ht="28.35" hidden="false" customHeight="false" outlineLevel="0" collapsed="false">
      <c r="A44" s="10" t="s">
        <v>134</v>
      </c>
      <c r="B44" s="17" t="s">
        <v>135</v>
      </c>
      <c r="C44" s="10" t="s">
        <v>136</v>
      </c>
    </row>
    <row r="45" customFormat="false" ht="41.75" hidden="false" customHeight="false" outlineLevel="0" collapsed="false">
      <c r="A45" s="10" t="s">
        <v>137</v>
      </c>
      <c r="B45" s="17" t="s">
        <v>138</v>
      </c>
      <c r="C45" s="10" t="s">
        <v>139</v>
      </c>
    </row>
    <row r="46" customFormat="false" ht="28.35" hidden="false" customHeight="false" outlineLevel="0" collapsed="false">
      <c r="A46" s="10" t="s">
        <v>140</v>
      </c>
      <c r="B46" s="17" t="s">
        <v>141</v>
      </c>
      <c r="C46" s="10" t="s">
        <v>142</v>
      </c>
    </row>
    <row r="47" customFormat="false" ht="15" hidden="false" customHeight="false" outlineLevel="0" collapsed="false">
      <c r="A47" s="10" t="s">
        <v>143</v>
      </c>
      <c r="B47" s="17" t="s">
        <v>144</v>
      </c>
      <c r="C47" s="10" t="s">
        <v>145</v>
      </c>
    </row>
  </sheetData>
  <mergeCells count="4">
    <mergeCell ref="A1:C1"/>
    <mergeCell ref="A2:C2"/>
    <mergeCell ref="A4:C4"/>
    <mergeCell ref="A43:C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9"/>
    <col collapsed="false" customWidth="true" hidden="false" outlineLevel="0" max="4" min="2" style="0" width="17"/>
    <col collapsed="false" customWidth="true" hidden="false" outlineLevel="0" max="5" min="5" style="0" width="19"/>
  </cols>
  <sheetData>
    <row r="1" customFormat="false" ht="30" hidden="false" customHeight="true" outlineLevel="0" collapsed="false">
      <c r="A1" s="1" t="s">
        <v>146</v>
      </c>
      <c r="B1" s="1"/>
      <c r="C1" s="1"/>
      <c r="D1" s="1"/>
      <c r="E1" s="1"/>
    </row>
    <row r="2" customFormat="false" ht="30" hidden="false" customHeight="true" outlineLevel="0" collapsed="false">
      <c r="A2" s="2" t="s">
        <v>147</v>
      </c>
      <c r="B2" s="2"/>
      <c r="C2" s="2"/>
      <c r="D2" s="2"/>
      <c r="E2" s="2"/>
    </row>
    <row r="4" customFormat="false" ht="15" hidden="false" customHeight="false" outlineLevel="0" collapsed="false">
      <c r="A4" s="3" t="s">
        <v>148</v>
      </c>
      <c r="B4" s="3"/>
      <c r="C4" s="3"/>
      <c r="D4" s="3"/>
      <c r="E4" s="3"/>
    </row>
    <row r="5" customFormat="false" ht="15" hidden="false" customHeight="false" outlineLevel="0" collapsed="false">
      <c r="A5" s="18"/>
      <c r="B5" s="19" t="n">
        <v>2023</v>
      </c>
      <c r="C5" s="19" t="n">
        <v>2024</v>
      </c>
      <c r="D5" s="19" t="n">
        <v>2025</v>
      </c>
    </row>
    <row r="6" customFormat="false" ht="15" hidden="false" customHeight="false" outlineLevel="0" collapsed="false">
      <c r="A6" s="10" t="s">
        <v>149</v>
      </c>
      <c r="B6" s="20" t="n">
        <v>30</v>
      </c>
      <c r="C6" s="20" t="n">
        <v>29</v>
      </c>
      <c r="D6" s="20" t="n">
        <v>28</v>
      </c>
    </row>
    <row r="7" customFormat="false" ht="15" hidden="false" customHeight="false" outlineLevel="0" collapsed="false">
      <c r="A7" s="10" t="s">
        <v>150</v>
      </c>
      <c r="B7" s="20" t="n">
        <v>3</v>
      </c>
      <c r="C7" s="20" t="n">
        <v>2.8</v>
      </c>
      <c r="D7" s="20" t="n">
        <v>2.6</v>
      </c>
    </row>
    <row r="8" customFormat="false" ht="15" hidden="false" customHeight="false" outlineLevel="0" collapsed="false">
      <c r="A8" s="10" t="s">
        <v>151</v>
      </c>
      <c r="B8" s="20" t="n">
        <v>-2</v>
      </c>
      <c r="C8" s="20" t="n">
        <v>-2.1</v>
      </c>
      <c r="D8" s="20" t="n">
        <v>-2.2</v>
      </c>
    </row>
    <row r="9" customFormat="false" ht="15" hidden="false" customHeight="false" outlineLevel="0" collapsed="false">
      <c r="A9" s="10" t="s">
        <v>152</v>
      </c>
      <c r="B9" s="20" t="n">
        <v>1</v>
      </c>
      <c r="C9" s="20" t="n">
        <v>0.7</v>
      </c>
      <c r="D9" s="20" t="n">
        <v>0.4</v>
      </c>
    </row>
    <row r="10" customFormat="false" ht="15" hidden="false" customHeight="false" outlineLevel="0" collapsed="false">
      <c r="A10" s="10" t="s">
        <v>153</v>
      </c>
      <c r="B10" s="20" t="n">
        <v>-0.7</v>
      </c>
      <c r="C10" s="20" t="n">
        <v>-0.75</v>
      </c>
      <c r="D10" s="20" t="n">
        <v>-0.8</v>
      </c>
    </row>
    <row r="11" customFormat="false" ht="15" hidden="false" customHeight="false" outlineLevel="0" collapsed="false">
      <c r="A11" s="10" t="s">
        <v>154</v>
      </c>
      <c r="B11" s="20" t="n">
        <v>0.3</v>
      </c>
      <c r="C11" s="20" t="n">
        <v>-0.05</v>
      </c>
      <c r="D11" s="20" t="n">
        <v>-0.4</v>
      </c>
    </row>
    <row r="12" customFormat="false" ht="15" hidden="false" customHeight="false" outlineLevel="0" collapsed="false">
      <c r="A12" s="10" t="s">
        <v>155</v>
      </c>
      <c r="B12" s="20" t="n">
        <v>-0.1</v>
      </c>
      <c r="C12" s="20" t="n">
        <v>0</v>
      </c>
      <c r="D12" s="20" t="n">
        <v>0</v>
      </c>
    </row>
    <row r="13" customFormat="false" ht="15" hidden="false" customHeight="false" outlineLevel="0" collapsed="false">
      <c r="A13" s="10" t="s">
        <v>156</v>
      </c>
      <c r="B13" s="20" t="n">
        <v>0.2</v>
      </c>
      <c r="C13" s="20" t="n">
        <v>-0.05</v>
      </c>
      <c r="D13" s="20" t="n">
        <v>-0.4</v>
      </c>
    </row>
    <row r="14" customFormat="false" ht="15" hidden="false" customHeight="false" outlineLevel="0" collapsed="false">
      <c r="A14" s="10" t="s">
        <v>157</v>
      </c>
      <c r="B14" s="20" t="n">
        <v>14</v>
      </c>
      <c r="C14" s="20" t="n">
        <v>14.5</v>
      </c>
      <c r="D14" s="20" t="n">
        <v>15</v>
      </c>
    </row>
    <row r="15" customFormat="false" ht="15" hidden="false" customHeight="false" outlineLevel="0" collapsed="false">
      <c r="A15" s="10" t="s">
        <v>158</v>
      </c>
      <c r="B15" s="20" t="n">
        <v>0.67</v>
      </c>
      <c r="C15" s="20" t="n">
        <v>0.68</v>
      </c>
      <c r="D15" s="20" t="n">
        <v>0.7</v>
      </c>
    </row>
    <row r="18" customFormat="false" ht="15" hidden="false" customHeight="false" outlineLevel="0" collapsed="false">
      <c r="A18" s="3" t="s">
        <v>159</v>
      </c>
      <c r="B18" s="3"/>
      <c r="C18" s="3"/>
      <c r="D18" s="3"/>
      <c r="E18" s="3"/>
    </row>
    <row r="19" customFormat="false" ht="15" hidden="false" customHeight="false" outlineLevel="0" collapsed="false">
      <c r="A19" s="18"/>
      <c r="B19" s="19" t="n">
        <v>2023</v>
      </c>
      <c r="C19" s="19" t="n">
        <v>2024</v>
      </c>
      <c r="D19" s="19" t="n">
        <v>2025</v>
      </c>
    </row>
    <row r="20" customFormat="false" ht="15" hidden="false" customHeight="false" outlineLevel="0" collapsed="false">
      <c r="A20" s="10" t="s">
        <v>149</v>
      </c>
      <c r="B20" s="20" t="n">
        <v>41</v>
      </c>
      <c r="C20" s="20" t="n">
        <v>39</v>
      </c>
      <c r="D20" s="20" t="n">
        <v>38</v>
      </c>
    </row>
    <row r="21" customFormat="false" ht="15" hidden="false" customHeight="false" outlineLevel="0" collapsed="false">
      <c r="A21" s="10" t="s">
        <v>150</v>
      </c>
      <c r="B21" s="20" t="n">
        <v>7</v>
      </c>
      <c r="C21" s="20" t="n">
        <v>6</v>
      </c>
      <c r="D21" s="20" t="n">
        <v>5.5</v>
      </c>
    </row>
    <row r="22" customFormat="false" ht="15" hidden="false" customHeight="false" outlineLevel="0" collapsed="false">
      <c r="A22" s="10" t="s">
        <v>151</v>
      </c>
      <c r="B22" s="20" t="n">
        <v>-4</v>
      </c>
      <c r="C22" s="20" t="n">
        <v>-4.2</v>
      </c>
      <c r="D22" s="20" t="n">
        <v>-4.3</v>
      </c>
    </row>
    <row r="23" customFormat="false" ht="15" hidden="false" customHeight="false" outlineLevel="0" collapsed="false">
      <c r="A23" s="10" t="s">
        <v>152</v>
      </c>
      <c r="B23" s="20" t="n">
        <v>3</v>
      </c>
      <c r="C23" s="20" t="n">
        <v>1.8</v>
      </c>
      <c r="D23" s="20" t="n">
        <v>1.2</v>
      </c>
    </row>
    <row r="24" customFormat="false" ht="15" hidden="false" customHeight="false" outlineLevel="0" collapsed="false">
      <c r="A24" s="10" t="s">
        <v>153</v>
      </c>
      <c r="B24" s="20" t="n">
        <v>-2</v>
      </c>
      <c r="C24" s="20" t="n">
        <v>-2.1</v>
      </c>
      <c r="D24" s="20" t="n">
        <v>-2.2</v>
      </c>
    </row>
    <row r="25" customFormat="false" ht="15" hidden="false" customHeight="false" outlineLevel="0" collapsed="false">
      <c r="A25" s="10" t="s">
        <v>154</v>
      </c>
      <c r="B25" s="20" t="n">
        <v>1</v>
      </c>
      <c r="C25" s="20" t="n">
        <v>-0.3</v>
      </c>
      <c r="D25" s="20" t="n">
        <v>-1</v>
      </c>
    </row>
    <row r="26" customFormat="false" ht="15" hidden="false" customHeight="false" outlineLevel="0" collapsed="false">
      <c r="A26" s="10" t="s">
        <v>155</v>
      </c>
      <c r="B26" s="20" t="n">
        <v>-0.2</v>
      </c>
      <c r="C26" s="20" t="n">
        <v>0</v>
      </c>
      <c r="D26" s="20" t="n">
        <v>0</v>
      </c>
    </row>
    <row r="27" customFormat="false" ht="15" hidden="false" customHeight="false" outlineLevel="0" collapsed="false">
      <c r="A27" s="10" t="s">
        <v>156</v>
      </c>
      <c r="B27" s="20" t="n">
        <v>0.8</v>
      </c>
      <c r="C27" s="20" t="n">
        <v>-0.3</v>
      </c>
      <c r="D27" s="20" t="n">
        <v>-1</v>
      </c>
    </row>
    <row r="28" customFormat="false" ht="15" hidden="false" customHeight="false" outlineLevel="0" collapsed="false">
      <c r="A28" s="10" t="s">
        <v>157</v>
      </c>
      <c r="B28" s="20" t="n">
        <v>40</v>
      </c>
      <c r="C28" s="20" t="n">
        <v>41</v>
      </c>
      <c r="D28" s="20" t="n">
        <v>42</v>
      </c>
    </row>
    <row r="29" customFormat="false" ht="15" hidden="false" customHeight="false" outlineLevel="0" collapsed="false">
      <c r="A29" s="10" t="s">
        <v>158</v>
      </c>
      <c r="B29" s="20" t="n">
        <v>2.5</v>
      </c>
      <c r="C29" s="20" t="n">
        <v>2.5</v>
      </c>
      <c r="D29" s="20" t="n">
        <v>2.5</v>
      </c>
    </row>
    <row r="32" customFormat="false" ht="37.5" hidden="false" customHeight="true" outlineLevel="0" collapsed="false">
      <c r="A32" s="12" t="s">
        <v>160</v>
      </c>
      <c r="B32" s="12"/>
      <c r="C32" s="12"/>
      <c r="D32" s="12"/>
      <c r="E32" s="12"/>
    </row>
  </sheetData>
  <mergeCells count="5">
    <mergeCell ref="A1:E1"/>
    <mergeCell ref="A2:E2"/>
    <mergeCell ref="A4:E4"/>
    <mergeCell ref="A18:E18"/>
    <mergeCell ref="A32:E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7"/>
  </cols>
  <sheetData>
    <row r="1" customFormat="false" ht="30" hidden="false" customHeight="true" outlineLevel="0" collapsed="false">
      <c r="A1" s="1" t="s">
        <v>161</v>
      </c>
      <c r="B1" s="1"/>
      <c r="C1" s="1"/>
      <c r="D1" s="1"/>
      <c r="E1" s="1"/>
      <c r="F1" s="1"/>
    </row>
    <row r="2" customFormat="false" ht="30" hidden="false" customHeight="true" outlineLevel="0" collapsed="false">
      <c r="A2" s="2" t="s">
        <v>162</v>
      </c>
      <c r="B2" s="2"/>
      <c r="C2" s="2"/>
      <c r="D2" s="2"/>
      <c r="E2" s="2"/>
      <c r="F2" s="2"/>
    </row>
    <row r="4" customFormat="false" ht="15" hidden="false" customHeight="false" outlineLevel="0" collapsed="false">
      <c r="A4" s="18"/>
      <c r="B4" s="19" t="n">
        <v>2026</v>
      </c>
      <c r="C4" s="19" t="n">
        <v>2027</v>
      </c>
      <c r="D4" s="19" t="n">
        <v>2028</v>
      </c>
      <c r="E4" s="19" t="n">
        <v>2029</v>
      </c>
      <c r="F4" s="19" t="n">
        <v>2030</v>
      </c>
    </row>
    <row r="5" customFormat="false" ht="15" hidden="false" customHeight="false" outlineLevel="0" collapsed="false">
      <c r="A5" s="3" t="s">
        <v>163</v>
      </c>
      <c r="B5" s="3"/>
      <c r="C5" s="3"/>
      <c r="D5" s="3"/>
      <c r="E5" s="3"/>
      <c r="F5" s="3"/>
    </row>
    <row r="6" customFormat="false" ht="15" hidden="false" customHeight="false" outlineLevel="0" collapsed="false">
      <c r="A6" s="10" t="s">
        <v>149</v>
      </c>
      <c r="B6" s="21" t="n">
        <f aca="false">(Historical!D6+Historical!D20)*(1+Assumptions!$B$5)</f>
        <v>67.32</v>
      </c>
      <c r="C6" s="21" t="n">
        <f aca="false">B6*(1+Assumptions!$B$6)</f>
        <v>69.003</v>
      </c>
      <c r="D6" s="21" t="n">
        <f aca="false">C6*(1+Assumptions!$B$7)</f>
        <v>71.07309</v>
      </c>
      <c r="E6" s="21" t="n">
        <f aca="false">D6*(1+Assumptions!$B$8)</f>
        <v>73.2052827</v>
      </c>
      <c r="F6" s="21" t="n">
        <f aca="false">E6*(1+Assumptions!$B$9)</f>
        <v>75.401441181</v>
      </c>
    </row>
    <row r="7" customFormat="false" ht="15" hidden="false" customHeight="false" outlineLevel="0" collapsed="false">
      <c r="A7" s="10" t="s">
        <v>164</v>
      </c>
      <c r="B7" s="22" t="n">
        <f aca="false">B6/(Historical!D6+Historical!D20)-1</f>
        <v>0.02</v>
      </c>
      <c r="C7" s="23" t="n">
        <f aca="false">C6/B6-1</f>
        <v>0.0249999999999999</v>
      </c>
      <c r="D7" s="23" t="n">
        <f aca="false">D6/C6-1</f>
        <v>0.03</v>
      </c>
      <c r="E7" s="23" t="n">
        <f aca="false">E6/D6-1</f>
        <v>0.03</v>
      </c>
      <c r="F7" s="23" t="n">
        <f aca="false">F6/E6-1</f>
        <v>0.03</v>
      </c>
    </row>
    <row r="8" customFormat="false" ht="15" hidden="false" customHeight="false" outlineLevel="0" collapsed="false">
      <c r="A8" s="10" t="s">
        <v>165</v>
      </c>
      <c r="B8" s="21" t="n">
        <f aca="false">B6*Assumptions!$B$10</f>
        <v>8.415</v>
      </c>
      <c r="C8" s="21" t="n">
        <f aca="false">C6*Assumptions!$B$11</f>
        <v>8.97039</v>
      </c>
      <c r="D8" s="21" t="n">
        <f aca="false">D6*Assumptions!$B$12</f>
        <v>9.59486715</v>
      </c>
      <c r="E8" s="21" t="n">
        <f aca="false">E6*Assumptions!$B$13</f>
        <v>10.248739578</v>
      </c>
      <c r="F8" s="21" t="n">
        <f aca="false">F6*Assumptions!$B$14</f>
        <v>10.933208971245</v>
      </c>
    </row>
    <row r="9" customFormat="false" ht="15" hidden="false" customHeight="false" outlineLevel="0" collapsed="false">
      <c r="A9" s="10" t="s">
        <v>166</v>
      </c>
      <c r="B9" s="23" t="n">
        <f aca="false">B8/B6</f>
        <v>0.125</v>
      </c>
      <c r="C9" s="23" t="n">
        <f aca="false">C8/C6</f>
        <v>0.13</v>
      </c>
      <c r="D9" s="23" t="n">
        <f aca="false">D8/D6</f>
        <v>0.135</v>
      </c>
      <c r="E9" s="23" t="n">
        <f aca="false">E8/E6</f>
        <v>0.14</v>
      </c>
      <c r="F9" s="23" t="n">
        <f aca="false">F8/F6</f>
        <v>0.145</v>
      </c>
    </row>
    <row r="10" customFormat="false" ht="15" hidden="false" customHeight="false" outlineLevel="0" collapsed="false">
      <c r="A10" s="10" t="s">
        <v>151</v>
      </c>
      <c r="B10" s="21" t="n">
        <f aca="false">-B6*Assumptions!$B$15</f>
        <v>-4.7124</v>
      </c>
      <c r="C10" s="21" t="n">
        <f aca="false">-C6*Assumptions!$B$15</f>
        <v>-4.83021</v>
      </c>
      <c r="D10" s="21" t="n">
        <f aca="false">-D6*Assumptions!$B$15</f>
        <v>-4.9751163</v>
      </c>
      <c r="E10" s="21" t="n">
        <f aca="false">-E6*Assumptions!$B$15</f>
        <v>-5.124369789</v>
      </c>
      <c r="F10" s="21" t="n">
        <f aca="false">-F6*Assumptions!$B$15</f>
        <v>-5.27810088267</v>
      </c>
    </row>
    <row r="11" customFormat="false" ht="15" hidden="false" customHeight="false" outlineLevel="0" collapsed="false">
      <c r="A11" s="10" t="s">
        <v>152</v>
      </c>
      <c r="B11" s="24" t="n">
        <f aca="false">B8+B10</f>
        <v>3.7026</v>
      </c>
      <c r="C11" s="24" t="n">
        <f aca="false">C8+C10</f>
        <v>4.14018</v>
      </c>
      <c r="D11" s="24" t="n">
        <f aca="false">D8+D10</f>
        <v>4.61975085</v>
      </c>
      <c r="E11" s="24" t="n">
        <f aca="false">E8+E10</f>
        <v>5.124369789</v>
      </c>
      <c r="F11" s="24" t="n">
        <f aca="false">F8+F10</f>
        <v>5.655108088575</v>
      </c>
    </row>
    <row r="12" customFormat="false" ht="15" hidden="false" customHeight="false" outlineLevel="0" collapsed="false">
      <c r="A12" s="10" t="s">
        <v>167</v>
      </c>
      <c r="B12" s="21" t="n">
        <f aca="false">-MAX(0,B11)*Assumptions!$B$17</f>
        <v>-0.92565</v>
      </c>
      <c r="C12" s="21" t="n">
        <f aca="false">-MAX(0,C11)*Assumptions!$B$17</f>
        <v>-1.035045</v>
      </c>
      <c r="D12" s="21" t="n">
        <f aca="false">-MAX(0,D11)*Assumptions!$B$17</f>
        <v>-1.1549377125</v>
      </c>
      <c r="E12" s="21" t="n">
        <f aca="false">-MAX(0,E11)*Assumptions!$B$17</f>
        <v>-1.28109244725</v>
      </c>
      <c r="F12" s="21" t="n">
        <f aca="false">-MAX(0,F11)*Assumptions!$B$17</f>
        <v>-1.41377702214375</v>
      </c>
    </row>
    <row r="13" customFormat="false" ht="15" hidden="false" customHeight="false" outlineLevel="0" collapsed="false">
      <c r="A13" s="10" t="s">
        <v>168</v>
      </c>
      <c r="B13" s="24" t="n">
        <f aca="false">B11+B12</f>
        <v>2.77695</v>
      </c>
      <c r="C13" s="24" t="n">
        <f aca="false">C11+C12</f>
        <v>3.105135</v>
      </c>
      <c r="D13" s="24" t="n">
        <f aca="false">D11+D12</f>
        <v>3.4648131375</v>
      </c>
      <c r="E13" s="24" t="n">
        <f aca="false">E11+E12</f>
        <v>3.84327734175</v>
      </c>
      <c r="F13" s="24" t="n">
        <f aca="false">F11+F12</f>
        <v>4.24133106643125</v>
      </c>
    </row>
    <row r="14" customFormat="false" ht="15" hidden="false" customHeight="false" outlineLevel="0" collapsed="false">
      <c r="A14" s="10" t="s">
        <v>169</v>
      </c>
      <c r="B14" s="24" t="n">
        <f aca="false">-B10</f>
        <v>4.7124</v>
      </c>
      <c r="C14" s="24" t="n">
        <f aca="false">-C10</f>
        <v>4.83021</v>
      </c>
      <c r="D14" s="24" t="n">
        <f aca="false">-D10</f>
        <v>4.9751163</v>
      </c>
      <c r="E14" s="24" t="n">
        <f aca="false">-E10</f>
        <v>5.124369789</v>
      </c>
      <c r="F14" s="24" t="n">
        <f aca="false">-F10</f>
        <v>5.27810088267</v>
      </c>
    </row>
    <row r="15" customFormat="false" ht="15" hidden="false" customHeight="false" outlineLevel="0" collapsed="false">
      <c r="A15" s="10" t="s">
        <v>170</v>
      </c>
      <c r="B15" s="21" t="n">
        <f aca="false">-B6*Assumptions!$B$16</f>
        <v>-2.6928</v>
      </c>
      <c r="C15" s="21" t="n">
        <f aca="false">-C6*Assumptions!$B$16</f>
        <v>-2.76012</v>
      </c>
      <c r="D15" s="21" t="n">
        <f aca="false">-D6*Assumptions!$B$16</f>
        <v>-2.8429236</v>
      </c>
      <c r="E15" s="21" t="n">
        <f aca="false">-E6*Assumptions!$B$16</f>
        <v>-2.928211308</v>
      </c>
      <c r="F15" s="21" t="n">
        <f aca="false">-F6*Assumptions!$B$16</f>
        <v>-3.01605764724</v>
      </c>
    </row>
    <row r="16" customFormat="false" ht="15" hidden="false" customHeight="false" outlineLevel="0" collapsed="false">
      <c r="A16" s="10" t="s">
        <v>171</v>
      </c>
      <c r="B16" s="21" t="n">
        <f aca="false">-(B6-(Historical!D6+Historical!D20))*Assumptions!$B$18</f>
        <v>-0.0264000000000002</v>
      </c>
      <c r="C16" s="21" t="n">
        <f aca="false">-(C6-B6)*Assumptions!$B$18</f>
        <v>-0.0336599999999999</v>
      </c>
      <c r="D16" s="21" t="n">
        <f aca="false">-(D6-C6)*Assumptions!$B$18</f>
        <v>-0.0414018000000002</v>
      </c>
      <c r="E16" s="21" t="n">
        <f aca="false">-(E6-D6)*Assumptions!$B$18</f>
        <v>-0.0426438540000001</v>
      </c>
      <c r="F16" s="21" t="n">
        <f aca="false">-(F6-E6)*Assumptions!$B$18</f>
        <v>-0.04392316962</v>
      </c>
    </row>
    <row r="17" customFormat="false" ht="15" hidden="false" customHeight="false" outlineLevel="0" collapsed="false">
      <c r="A17" s="10" t="s">
        <v>172</v>
      </c>
      <c r="B17" s="24" t="n">
        <f aca="false">B13+B14+B15+B16</f>
        <v>4.77015</v>
      </c>
      <c r="C17" s="24" t="n">
        <f aca="false">C13+C14+C15+C16</f>
        <v>5.141565</v>
      </c>
      <c r="D17" s="24" t="n">
        <f aca="false">D13+D14+D15+D16</f>
        <v>5.5556040375</v>
      </c>
      <c r="E17" s="24" t="n">
        <f aca="false">E13+E14+E15+E16</f>
        <v>5.99679196875</v>
      </c>
      <c r="F17" s="24" t="n">
        <f aca="false">F13+F14+F15+F16</f>
        <v>6.45945113224125</v>
      </c>
    </row>
    <row r="20" customFormat="false" ht="15" hidden="false" customHeight="false" outlineLevel="0" collapsed="false">
      <c r="A20" s="3" t="s">
        <v>173</v>
      </c>
      <c r="B20" s="3"/>
      <c r="C20" s="3"/>
      <c r="D20" s="3"/>
      <c r="E20" s="3"/>
      <c r="F20" s="3"/>
    </row>
    <row r="21" customFormat="false" ht="15" hidden="false" customHeight="false" outlineLevel="0" collapsed="false">
      <c r="A21" s="10" t="s">
        <v>174</v>
      </c>
      <c r="B21" s="21" t="n">
        <f aca="false">Assumptions!$B$34</f>
        <v>1.5</v>
      </c>
      <c r="C21" s="21" t="n">
        <f aca="false">Assumptions!$B$34</f>
        <v>1.5</v>
      </c>
      <c r="D21" s="21" t="n">
        <f aca="false">Assumptions!$B$34</f>
        <v>1.5</v>
      </c>
      <c r="E21" s="21" t="n">
        <f aca="false">Assumptions!$B$34</f>
        <v>1.5</v>
      </c>
      <c r="F21" s="21" t="n">
        <f aca="false">Assumptions!$B$34</f>
        <v>1.5</v>
      </c>
    </row>
    <row r="22" customFormat="false" ht="15" hidden="false" customHeight="false" outlineLevel="0" collapsed="false">
      <c r="A22" s="10" t="s">
        <v>175</v>
      </c>
      <c r="B22" s="22" t="n">
        <f aca="false">Assumptions!$B$35</f>
        <v>0.35</v>
      </c>
      <c r="C22" s="23" t="n">
        <f aca="false">100%</f>
        <v>1</v>
      </c>
      <c r="D22" s="23" t="n">
        <f aca="false">100%</f>
        <v>1</v>
      </c>
      <c r="E22" s="23" t="n">
        <f aca="false">100%</f>
        <v>1</v>
      </c>
      <c r="F22" s="23" t="n">
        <f aca="false">100%</f>
        <v>1</v>
      </c>
    </row>
    <row r="23" customFormat="false" ht="15" hidden="false" customHeight="false" outlineLevel="0" collapsed="false">
      <c r="A23" s="10" t="s">
        <v>176</v>
      </c>
      <c r="B23" s="24" t="n">
        <f aca="false">B21*B22</f>
        <v>0.525</v>
      </c>
      <c r="C23" s="24" t="n">
        <f aca="false">C21*C22</f>
        <v>1.5</v>
      </c>
      <c r="D23" s="24" t="n">
        <f aca="false">D21*D22</f>
        <v>1.5</v>
      </c>
      <c r="E23" s="24" t="n">
        <f aca="false">E21*E22</f>
        <v>1.5</v>
      </c>
      <c r="F23" s="24" t="n">
        <f aca="false">F21*F22</f>
        <v>1.5</v>
      </c>
    </row>
    <row r="24" customFormat="false" ht="15" hidden="false" customHeight="false" outlineLevel="0" collapsed="false">
      <c r="A24" s="10" t="s">
        <v>177</v>
      </c>
      <c r="B24" s="21" t="n">
        <f aca="false">-Assumptions!$B$37</f>
        <v>-0.25</v>
      </c>
      <c r="C24" s="21" t="n">
        <f aca="false">-Assumptions!$B$37</f>
        <v>-0.25</v>
      </c>
      <c r="D24" s="21" t="n">
        <f aca="false">-Assumptions!$B$37</f>
        <v>-0.25</v>
      </c>
      <c r="E24" s="21" t="n">
        <f aca="false">-Assumptions!$B$37</f>
        <v>-0.25</v>
      </c>
      <c r="F24" s="21" t="n">
        <f aca="false">-Assumptions!$B$37</f>
        <v>-0.25</v>
      </c>
    </row>
    <row r="25" customFormat="false" ht="15" hidden="false" customHeight="false" outlineLevel="0" collapsed="false">
      <c r="A25" s="10" t="s">
        <v>178</v>
      </c>
      <c r="B25" s="21" t="n">
        <f aca="false">-Assumptions!$B$36</f>
        <v>-1</v>
      </c>
      <c r="C25" s="24" t="n">
        <f aca="false">0</f>
        <v>0</v>
      </c>
      <c r="D25" s="24" t="n">
        <f aca="false">0</f>
        <v>0</v>
      </c>
      <c r="E25" s="24" t="n">
        <f aca="false">0</f>
        <v>0</v>
      </c>
      <c r="F25" s="24" t="n">
        <f aca="false">0</f>
        <v>0</v>
      </c>
    </row>
    <row r="26" customFormat="false" ht="15" hidden="false" customHeight="false" outlineLevel="0" collapsed="false">
      <c r="A26" s="10" t="s">
        <v>179</v>
      </c>
      <c r="B26" s="24" t="n">
        <f aca="false">B23+B24+B25</f>
        <v>-0.725</v>
      </c>
      <c r="C26" s="24" t="n">
        <f aca="false">C23+C24+C25</f>
        <v>1.25</v>
      </c>
      <c r="D26" s="24" t="n">
        <f aca="false">D23+D24+D25</f>
        <v>1.25</v>
      </c>
      <c r="E26" s="24" t="n">
        <f aca="false">E23+E24+E25</f>
        <v>1.25</v>
      </c>
      <c r="F26" s="24" t="n">
        <f aca="false">F23+F24+F25</f>
        <v>1.25</v>
      </c>
    </row>
  </sheetData>
  <mergeCells count="4">
    <mergeCell ref="A1:F1"/>
    <mergeCell ref="A2:F2"/>
    <mergeCell ref="A5:F5"/>
    <mergeCell ref="A20:F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3"/>
    <col collapsed="false" customWidth="true" hidden="false" outlineLevel="0" max="6" min="2" style="0" width="18"/>
  </cols>
  <sheetData>
    <row r="1" customFormat="false" ht="30" hidden="false" customHeight="true" outlineLevel="0" collapsed="false">
      <c r="A1" s="1" t="s">
        <v>180</v>
      </c>
      <c r="B1" s="1"/>
      <c r="C1" s="1"/>
      <c r="D1" s="1"/>
      <c r="E1" s="1"/>
      <c r="F1" s="1"/>
    </row>
    <row r="2" customFormat="false" ht="30" hidden="false" customHeight="true" outlineLevel="0" collapsed="false">
      <c r="A2" s="2" t="s">
        <v>181</v>
      </c>
      <c r="B2" s="2"/>
      <c r="C2" s="2"/>
      <c r="D2" s="2"/>
      <c r="E2" s="2"/>
      <c r="F2" s="2"/>
    </row>
    <row r="4" customFormat="false" ht="15" hidden="false" customHeight="false" outlineLevel="0" collapsed="false">
      <c r="A4" s="18"/>
      <c r="B4" s="19" t="n">
        <v>2026</v>
      </c>
      <c r="C4" s="19" t="n">
        <v>2027</v>
      </c>
      <c r="D4" s="19" t="n">
        <v>2028</v>
      </c>
      <c r="E4" s="19" t="n">
        <v>2029</v>
      </c>
      <c r="F4" s="19" t="n">
        <v>2030</v>
      </c>
    </row>
    <row r="5" customFormat="false" ht="15" hidden="false" customHeight="false" outlineLevel="0" collapsed="false">
      <c r="A5" s="10" t="s">
        <v>152</v>
      </c>
      <c r="B5" s="21" t="n">
        <f aca="false">Projections!B11</f>
        <v>3.7026</v>
      </c>
      <c r="C5" s="21" t="n">
        <f aca="false">Projections!C11</f>
        <v>4.14018</v>
      </c>
      <c r="D5" s="21" t="n">
        <f aca="false">Projections!D11</f>
        <v>4.61975085</v>
      </c>
      <c r="E5" s="21" t="n">
        <f aca="false">Projections!E11</f>
        <v>5.124369789</v>
      </c>
      <c r="F5" s="21" t="n">
        <f aca="false">Projections!F11</f>
        <v>5.655108088575</v>
      </c>
    </row>
    <row r="6" customFormat="false" ht="15" hidden="false" customHeight="false" outlineLevel="0" collapsed="false">
      <c r="A6" s="10" t="s">
        <v>86</v>
      </c>
      <c r="B6" s="22" t="n">
        <f aca="false">Assumptions!$B$17</f>
        <v>0.25</v>
      </c>
      <c r="C6" s="22" t="n">
        <f aca="false">Assumptions!$B$17</f>
        <v>0.25</v>
      </c>
      <c r="D6" s="22" t="n">
        <f aca="false">Assumptions!$B$17</f>
        <v>0.25</v>
      </c>
      <c r="E6" s="22" t="n">
        <f aca="false">Assumptions!$B$17</f>
        <v>0.25</v>
      </c>
      <c r="F6" s="22" t="n">
        <f aca="false">Assumptions!$B$17</f>
        <v>0.25</v>
      </c>
    </row>
    <row r="7" customFormat="false" ht="15" hidden="false" customHeight="false" outlineLevel="0" collapsed="false">
      <c r="A7" s="10" t="s">
        <v>168</v>
      </c>
      <c r="B7" s="24" t="n">
        <f aca="false">B5*(1-B6)</f>
        <v>2.77695</v>
      </c>
      <c r="C7" s="24" t="n">
        <f aca="false">C5*(1-C6)</f>
        <v>3.105135</v>
      </c>
      <c r="D7" s="24" t="n">
        <f aca="false">D5*(1-D6)</f>
        <v>3.4648131375</v>
      </c>
      <c r="E7" s="24" t="n">
        <f aca="false">E5*(1-E6)</f>
        <v>3.84327734175</v>
      </c>
      <c r="F7" s="24" t="n">
        <f aca="false">F5*(1-F6)</f>
        <v>4.24133106643125</v>
      </c>
    </row>
    <row r="8" customFormat="false" ht="15" hidden="false" customHeight="false" outlineLevel="0" collapsed="false">
      <c r="A8" s="10" t="s">
        <v>169</v>
      </c>
      <c r="B8" s="21" t="n">
        <f aca="false">Projections!B14</f>
        <v>4.7124</v>
      </c>
      <c r="C8" s="21" t="n">
        <f aca="false">Projections!C14</f>
        <v>4.83021</v>
      </c>
      <c r="D8" s="21" t="n">
        <f aca="false">Projections!D14</f>
        <v>4.9751163</v>
      </c>
      <c r="E8" s="21" t="n">
        <f aca="false">Projections!E14</f>
        <v>5.124369789</v>
      </c>
      <c r="F8" s="21" t="n">
        <f aca="false">Projections!F14</f>
        <v>5.27810088267</v>
      </c>
    </row>
    <row r="9" customFormat="false" ht="15" hidden="false" customHeight="false" outlineLevel="0" collapsed="false">
      <c r="A9" s="10" t="s">
        <v>170</v>
      </c>
      <c r="B9" s="21" t="n">
        <f aca="false">-Projections!B15</f>
        <v>2.6928</v>
      </c>
      <c r="C9" s="21" t="n">
        <f aca="false">-Projections!C15</f>
        <v>2.76012</v>
      </c>
      <c r="D9" s="21" t="n">
        <f aca="false">-Projections!D15</f>
        <v>2.8429236</v>
      </c>
      <c r="E9" s="21" t="n">
        <f aca="false">-Projections!E15</f>
        <v>2.928211308</v>
      </c>
      <c r="F9" s="21" t="n">
        <f aca="false">-Projections!F15</f>
        <v>3.01605764724</v>
      </c>
    </row>
    <row r="10" customFormat="false" ht="15" hidden="false" customHeight="false" outlineLevel="0" collapsed="false">
      <c r="A10" s="10" t="s">
        <v>171</v>
      </c>
      <c r="B10" s="21" t="n">
        <f aca="false">Projections!B16</f>
        <v>-0.0264000000000002</v>
      </c>
      <c r="C10" s="21" t="n">
        <f aca="false">Projections!C16</f>
        <v>-0.0336599999999999</v>
      </c>
      <c r="D10" s="21" t="n">
        <f aca="false">Projections!D16</f>
        <v>-0.0414018000000002</v>
      </c>
      <c r="E10" s="21" t="n">
        <f aca="false">Projections!E16</f>
        <v>-0.0426438540000001</v>
      </c>
      <c r="F10" s="21" t="n">
        <f aca="false">Projections!F16</f>
        <v>-0.04392316962</v>
      </c>
    </row>
    <row r="11" customFormat="false" ht="15" hidden="false" customHeight="false" outlineLevel="0" collapsed="false">
      <c r="A11" s="10" t="s">
        <v>172</v>
      </c>
      <c r="B11" s="24" t="n">
        <f aca="false">B7+B8-B9+B10</f>
        <v>4.77015</v>
      </c>
      <c r="C11" s="24" t="n">
        <f aca="false">C7+C8-C9+C10</f>
        <v>5.141565</v>
      </c>
      <c r="D11" s="24" t="n">
        <f aca="false">D7+D8-D9+D10</f>
        <v>5.5556040375</v>
      </c>
      <c r="E11" s="24" t="n">
        <f aca="false">E7+E8-E9+E10</f>
        <v>5.99679196875</v>
      </c>
      <c r="F11" s="24" t="n">
        <f aca="false">F7+F8-F9+F10</f>
        <v>6.45945113224125</v>
      </c>
    </row>
    <row r="12" customFormat="false" ht="15" hidden="false" customHeight="false" outlineLevel="0" collapsed="false">
      <c r="A12" s="10" t="s">
        <v>182</v>
      </c>
      <c r="B12" s="10" t="n">
        <v>1</v>
      </c>
      <c r="C12" s="10" t="n">
        <v>2</v>
      </c>
      <c r="D12" s="10" t="n">
        <v>3</v>
      </c>
      <c r="E12" s="10" t="n">
        <v>4</v>
      </c>
      <c r="F12" s="10" t="n">
        <v>5</v>
      </c>
    </row>
    <row r="13" customFormat="false" ht="15" hidden="false" customHeight="false" outlineLevel="0" collapsed="false">
      <c r="A13" s="10" t="s">
        <v>183</v>
      </c>
      <c r="B13" s="25" t="n">
        <f aca="false">1/(1+$B$20)^B12</f>
        <v>0.916485278955207</v>
      </c>
      <c r="C13" s="25" t="n">
        <f aca="false">1/(1+$B$20)^C12</f>
        <v>0.839945266541603</v>
      </c>
      <c r="D13" s="25" t="n">
        <f aca="false">1/(1+$B$20)^D12</f>
        <v>0.769797471913487</v>
      </c>
      <c r="E13" s="25" t="n">
        <f aca="false">1/(1+$B$20)^E12</f>
        <v>0.705508050785645</v>
      </c>
      <c r="F13" s="25" t="n">
        <f aca="false">1/(1+$B$20)^F12</f>
        <v>0.646587742729426</v>
      </c>
    </row>
    <row r="14" customFormat="false" ht="15" hidden="false" customHeight="false" outlineLevel="0" collapsed="false">
      <c r="A14" s="10" t="s">
        <v>184</v>
      </c>
      <c r="B14" s="24" t="n">
        <f aca="false">B11*B13</f>
        <v>4.37177225340818</v>
      </c>
      <c r="C14" s="24" t="n">
        <f aca="false">C11*C13</f>
        <v>4.31863318436598</v>
      </c>
      <c r="D14" s="24" t="n">
        <f aca="false">D11*D13</f>
        <v>4.27668994301986</v>
      </c>
      <c r="E14" s="24" t="n">
        <f aca="false">E11*E13</f>
        <v>4.23078501283982</v>
      </c>
      <c r="F14" s="24" t="n">
        <f aca="false">F11*F13</f>
        <v>4.17660192686691</v>
      </c>
    </row>
    <row r="17" customFormat="false" ht="15" hidden="false" customHeight="false" outlineLevel="0" collapsed="false">
      <c r="A17" s="3" t="s">
        <v>185</v>
      </c>
      <c r="B17" s="3"/>
      <c r="C17" s="3"/>
      <c r="D17" s="3"/>
      <c r="E17" s="3"/>
      <c r="F17" s="3"/>
    </row>
    <row r="18" customFormat="false" ht="15" hidden="false" customHeight="false" outlineLevel="0" collapsed="false">
      <c r="A18" s="10" t="s">
        <v>90</v>
      </c>
      <c r="B18" s="22" t="n">
        <f aca="false">Assumptions!$B$19</f>
        <v>0.042</v>
      </c>
    </row>
    <row r="19" customFormat="false" ht="15" hidden="false" customHeight="false" outlineLevel="0" collapsed="false">
      <c r="A19" s="10" t="s">
        <v>92</v>
      </c>
      <c r="B19" s="22" t="n">
        <f aca="false">Assumptions!$B$20</f>
        <v>0.055</v>
      </c>
    </row>
    <row r="20" customFormat="false" ht="15" hidden="false" customHeight="false" outlineLevel="0" collapsed="false">
      <c r="A20" s="10" t="s">
        <v>28</v>
      </c>
      <c r="B20" s="23" t="n">
        <f aca="false">B24*B22+B25*B21*(1-B26)</f>
        <v>0.091125</v>
      </c>
    </row>
    <row r="21" customFormat="false" ht="15" hidden="false" customHeight="false" outlineLevel="0" collapsed="false">
      <c r="A21" s="10" t="s">
        <v>96</v>
      </c>
      <c r="B21" s="22" t="n">
        <f aca="false">Assumptions!$B$22</f>
        <v>0.065</v>
      </c>
    </row>
    <row r="22" customFormat="false" ht="15" hidden="false" customHeight="false" outlineLevel="0" collapsed="false">
      <c r="A22" s="10" t="s">
        <v>186</v>
      </c>
      <c r="B22" s="22" t="n">
        <f aca="false">B18+Assumptions!$B$21*B19</f>
        <v>0.10525</v>
      </c>
    </row>
    <row r="23" customFormat="false" ht="15" hidden="false" customHeight="false" outlineLevel="0" collapsed="false">
      <c r="A23" s="10" t="s">
        <v>94</v>
      </c>
      <c r="B23" s="26" t="n">
        <f aca="false">Assumptions!$B$21</f>
        <v>1.15</v>
      </c>
    </row>
    <row r="24" customFormat="false" ht="15" hidden="false" customHeight="false" outlineLevel="0" collapsed="false">
      <c r="A24" s="10" t="s">
        <v>187</v>
      </c>
      <c r="B24" s="22" t="n">
        <f aca="false">1-Assumptions!$B$23</f>
        <v>0.75</v>
      </c>
    </row>
    <row r="25" customFormat="false" ht="15" hidden="false" customHeight="false" outlineLevel="0" collapsed="false">
      <c r="A25" s="10" t="s">
        <v>188</v>
      </c>
      <c r="B25" s="22" t="n">
        <f aca="false">Assumptions!$B$23</f>
        <v>0.25</v>
      </c>
    </row>
    <row r="26" customFormat="false" ht="15" hidden="false" customHeight="false" outlineLevel="0" collapsed="false">
      <c r="A26" s="10" t="s">
        <v>86</v>
      </c>
      <c r="B26" s="22" t="n">
        <f aca="false">Assumptions!$B$17</f>
        <v>0.25</v>
      </c>
    </row>
    <row r="27" customFormat="false" ht="15" hidden="false" customHeight="false" outlineLevel="0" collapsed="false">
      <c r="A27" s="10" t="s">
        <v>189</v>
      </c>
      <c r="B27" s="22" t="n">
        <f aca="false">Assumptions!$B$24</f>
        <v>0.025</v>
      </c>
    </row>
    <row r="28" customFormat="false" ht="15" hidden="false" customHeight="false" outlineLevel="0" collapsed="false">
      <c r="A28" s="10" t="s">
        <v>190</v>
      </c>
      <c r="B28" s="24" t="n">
        <f aca="false">B43*(1+B27)</f>
        <v>6.04128883146834</v>
      </c>
    </row>
    <row r="29" customFormat="false" ht="15" hidden="false" customHeight="false" outlineLevel="0" collapsed="false">
      <c r="A29" s="10" t="s">
        <v>191</v>
      </c>
      <c r="B29" s="24" t="n">
        <f aca="false">B28/(B20-B27)</f>
        <v>91.3616458445118</v>
      </c>
    </row>
    <row r="30" customFormat="false" ht="15" hidden="false" customHeight="false" outlineLevel="0" collapsed="false">
      <c r="A30" s="10" t="s">
        <v>192</v>
      </c>
      <c r="B30" s="24" t="n">
        <f aca="false">B29*F13</f>
        <v>59.0733203586481</v>
      </c>
    </row>
    <row r="31" customFormat="false" ht="15" hidden="false" customHeight="false" outlineLevel="0" collapsed="false">
      <c r="A31" s="10" t="s">
        <v>193</v>
      </c>
      <c r="B31" s="24" t="n">
        <f aca="false">SUM(B14:F14)</f>
        <v>21.3744823205008</v>
      </c>
    </row>
    <row r="32" customFormat="false" ht="15" hidden="false" customHeight="false" outlineLevel="0" collapsed="false">
      <c r="A32" s="10" t="s">
        <v>194</v>
      </c>
      <c r="B32" s="24" t="n">
        <f aca="false">B30+B31</f>
        <v>80.4478026791489</v>
      </c>
    </row>
    <row r="33" customFormat="false" ht="15" hidden="false" customHeight="false" outlineLevel="0" collapsed="false">
      <c r="A33" s="10" t="s">
        <v>195</v>
      </c>
      <c r="B33" s="21" t="n">
        <f aca="false">Historical!D14+Historical!D28</f>
        <v>57</v>
      </c>
    </row>
    <row r="34" customFormat="false" ht="15" hidden="false" customHeight="false" outlineLevel="0" collapsed="false">
      <c r="A34" s="10" t="s">
        <v>196</v>
      </c>
      <c r="B34" s="24" t="n">
        <f aca="false">B32-B33</f>
        <v>23.4478026791489</v>
      </c>
    </row>
    <row r="36" customFormat="false" ht="36" hidden="false" customHeight="true" outlineLevel="0" collapsed="false">
      <c r="A36" s="10" t="s">
        <v>197</v>
      </c>
      <c r="B36" s="10"/>
      <c r="C36" s="10"/>
      <c r="D36" s="10"/>
      <c r="E36" s="10"/>
      <c r="F36" s="10"/>
    </row>
    <row r="38" customFormat="false" ht="15" hidden="false" customHeight="false" outlineLevel="0" collapsed="false">
      <c r="A38" s="3" t="s">
        <v>198</v>
      </c>
      <c r="B38" s="3"/>
      <c r="C38" s="3"/>
      <c r="D38" s="3"/>
      <c r="E38" s="3"/>
      <c r="F38" s="3"/>
    </row>
    <row r="39" customFormat="false" ht="15" hidden="false" customHeight="false" outlineLevel="0" collapsed="false">
      <c r="A39" s="10" t="s">
        <v>199</v>
      </c>
      <c r="B39" s="24" t="n">
        <f aca="false">Projections!F8</f>
        <v>10.933208971245</v>
      </c>
    </row>
    <row r="40" customFormat="false" ht="15" hidden="false" customHeight="false" outlineLevel="0" collapsed="false">
      <c r="A40" s="10" t="s">
        <v>200</v>
      </c>
      <c r="B40" s="24" t="n">
        <f aca="false">F9*Assumptions!$B$40</f>
        <v>3.01605764724</v>
      </c>
    </row>
    <row r="41" customFormat="false" ht="15" hidden="false" customHeight="false" outlineLevel="0" collapsed="false">
      <c r="A41" s="10" t="s">
        <v>201</v>
      </c>
      <c r="B41" s="24" t="n">
        <f aca="false">B39-B40</f>
        <v>7.917151324005</v>
      </c>
    </row>
    <row r="42" customFormat="false" ht="15" hidden="false" customHeight="false" outlineLevel="0" collapsed="false">
      <c r="A42" s="10" t="s">
        <v>202</v>
      </c>
      <c r="B42" s="24" t="n">
        <f aca="false">B41*(1-Assumptions!$B$17)</f>
        <v>5.93786349300375</v>
      </c>
    </row>
    <row r="43" customFormat="false" ht="15" hidden="false" customHeight="false" outlineLevel="0" collapsed="false">
      <c r="A43" s="10" t="s">
        <v>203</v>
      </c>
      <c r="B43" s="24" t="n">
        <f aca="false">B42+B40-F9+F10</f>
        <v>5.89394032338375</v>
      </c>
    </row>
    <row r="45" customFormat="false" ht="15" hidden="false" customHeight="false" outlineLevel="0" collapsed="false">
      <c r="A45" s="3" t="s">
        <v>204</v>
      </c>
      <c r="B45" s="3"/>
      <c r="C45" s="3"/>
      <c r="D45" s="3"/>
      <c r="E45" s="3"/>
      <c r="F45" s="3"/>
    </row>
    <row r="46" customFormat="false" ht="15" hidden="false" customHeight="false" outlineLevel="0" collapsed="false">
      <c r="A46" s="10" t="s">
        <v>194</v>
      </c>
      <c r="B46" s="24" t="n">
        <f aca="false">B32</f>
        <v>80.4478026791489</v>
      </c>
    </row>
    <row r="47" customFormat="false" ht="15" hidden="false" customHeight="false" outlineLevel="0" collapsed="false">
      <c r="A47" s="10" t="s">
        <v>205</v>
      </c>
      <c r="B47" s="21" t="n">
        <f aca="false">Comps!B20</f>
        <v>64.8</v>
      </c>
    </row>
    <row r="48" customFormat="false" ht="15" hidden="false" customHeight="false" outlineLevel="0" collapsed="false">
      <c r="A48" s="10" t="s">
        <v>206</v>
      </c>
      <c r="B48" s="23" t="n">
        <f aca="false">B46/B47-1</f>
        <v>0.241478436406619</v>
      </c>
    </row>
    <row r="49" customFormat="false" ht="15" hidden="false" customHeight="false" outlineLevel="0" collapsed="false">
      <c r="A49" s="10" t="s">
        <v>207</v>
      </c>
      <c r="B49" s="27" t="n">
        <f aca="false">B46/Comps!B19</f>
        <v>9.93182749125295</v>
      </c>
    </row>
    <row r="50" customFormat="false" ht="15" hidden="false" customHeight="false" outlineLevel="0" collapsed="false">
      <c r="A50" s="10" t="s">
        <v>208</v>
      </c>
      <c r="B50" s="28" t="n">
        <f aca="false">Comps!B14</f>
        <v>8</v>
      </c>
    </row>
    <row r="51" customFormat="false" ht="15" hidden="false" customHeight="false" outlineLevel="0" collapsed="false">
      <c r="A51" s="10" t="s">
        <v>209</v>
      </c>
      <c r="B51" s="27" t="n">
        <f aca="false">B29/Projections!F8</f>
        <v>8.35634314543867</v>
      </c>
    </row>
    <row r="52" customFormat="false" ht="15" hidden="false" customHeight="false" outlineLevel="0" collapsed="false">
      <c r="A52" s="10" t="s">
        <v>210</v>
      </c>
      <c r="B52" s="23" t="n">
        <f aca="false">B30/B32</f>
        <v>0.73430620093194</v>
      </c>
    </row>
  </sheetData>
  <mergeCells count="6">
    <mergeCell ref="A1:F1"/>
    <mergeCell ref="A2:F2"/>
    <mergeCell ref="A17:F17"/>
    <mergeCell ref="A36:F36"/>
    <mergeCell ref="A38:F38"/>
    <mergeCell ref="A45:F4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8"/>
  </cols>
  <sheetData>
    <row r="1" customFormat="false" ht="30" hidden="false" customHeight="true" outlineLevel="0" collapsed="false">
      <c r="A1" s="1" t="s">
        <v>211</v>
      </c>
      <c r="B1" s="1"/>
      <c r="C1" s="1"/>
      <c r="D1" s="1"/>
      <c r="E1" s="1"/>
    </row>
    <row r="2" customFormat="false" ht="30" hidden="false" customHeight="true" outlineLevel="0" collapsed="false">
      <c r="A2" s="2" t="s">
        <v>212</v>
      </c>
      <c r="B2" s="2"/>
      <c r="C2" s="2"/>
      <c r="D2" s="2"/>
      <c r="E2" s="2"/>
    </row>
    <row r="4" customFormat="false" ht="15" hidden="false" customHeight="false" outlineLevel="0" collapsed="false">
      <c r="A4" s="3" t="s">
        <v>213</v>
      </c>
      <c r="B4" s="3"/>
      <c r="C4" s="3"/>
      <c r="D4" s="3"/>
      <c r="E4" s="3"/>
    </row>
    <row r="5" customFormat="false" ht="15" hidden="false" customHeight="false" outlineLevel="0" collapsed="false">
      <c r="A5" s="19" t="s">
        <v>214</v>
      </c>
      <c r="B5" s="19" t="s">
        <v>215</v>
      </c>
      <c r="C5" s="19" t="s">
        <v>149</v>
      </c>
      <c r="D5" s="19" t="s">
        <v>165</v>
      </c>
      <c r="E5" s="19" t="s">
        <v>157</v>
      </c>
    </row>
    <row r="6" customFormat="false" ht="15" hidden="false" customHeight="false" outlineLevel="0" collapsed="false">
      <c r="A6" s="10" t="s">
        <v>216</v>
      </c>
      <c r="B6" s="29" t="n">
        <v>7</v>
      </c>
      <c r="C6" s="20" t="n">
        <v>25</v>
      </c>
      <c r="D6" s="20" t="n">
        <v>4</v>
      </c>
      <c r="E6" s="20" t="n">
        <v>8</v>
      </c>
    </row>
    <row r="7" customFormat="false" ht="15" hidden="false" customHeight="false" outlineLevel="0" collapsed="false">
      <c r="A7" s="10" t="s">
        <v>217</v>
      </c>
      <c r="B7" s="29" t="n">
        <v>8</v>
      </c>
      <c r="C7" s="20" t="n">
        <v>42</v>
      </c>
      <c r="D7" s="20" t="n">
        <v>7</v>
      </c>
      <c r="E7" s="20" t="n">
        <v>18</v>
      </c>
    </row>
    <row r="8" customFormat="false" ht="15" hidden="false" customHeight="false" outlineLevel="0" collapsed="false">
      <c r="A8" s="10" t="s">
        <v>218</v>
      </c>
      <c r="B8" s="29" t="n">
        <v>9</v>
      </c>
      <c r="C8" s="20" t="n">
        <v>55</v>
      </c>
      <c r="D8" s="20" t="n">
        <v>9</v>
      </c>
      <c r="E8" s="20" t="n">
        <v>24</v>
      </c>
    </row>
    <row r="9" customFormat="false" ht="15" hidden="false" customHeight="false" outlineLevel="0" collapsed="false">
      <c r="A9" s="10" t="s">
        <v>219</v>
      </c>
      <c r="B9" s="29" t="n">
        <v>7.5</v>
      </c>
      <c r="C9" s="20" t="n">
        <v>32</v>
      </c>
      <c r="D9" s="20" t="n">
        <v>5</v>
      </c>
      <c r="E9" s="20" t="n">
        <v>10</v>
      </c>
    </row>
    <row r="10" customFormat="false" ht="15" hidden="false" customHeight="false" outlineLevel="0" collapsed="false">
      <c r="A10" s="10" t="s">
        <v>220</v>
      </c>
      <c r="B10" s="29" t="n">
        <v>8.5</v>
      </c>
      <c r="C10" s="20" t="n">
        <v>48</v>
      </c>
      <c r="D10" s="20" t="n">
        <v>8</v>
      </c>
      <c r="E10" s="20" t="n">
        <v>20</v>
      </c>
    </row>
    <row r="13" customFormat="false" ht="15" hidden="false" customHeight="false" outlineLevel="0" collapsed="false">
      <c r="A13" s="3" t="s">
        <v>221</v>
      </c>
      <c r="B13" s="3"/>
      <c r="C13" s="3"/>
      <c r="D13" s="3"/>
      <c r="E13" s="3"/>
    </row>
    <row r="14" customFormat="false" ht="15" hidden="false" customHeight="false" outlineLevel="0" collapsed="false">
      <c r="A14" s="10" t="s">
        <v>222</v>
      </c>
      <c r="B14" s="27" t="n">
        <f aca="false">MEDIAN(B6:B10)</f>
        <v>8</v>
      </c>
    </row>
    <row r="15" customFormat="false" ht="15" hidden="false" customHeight="false" outlineLevel="0" collapsed="false">
      <c r="A15" s="10" t="s">
        <v>223</v>
      </c>
      <c r="B15" s="21" t="n">
        <f aca="false">Historical!D21</f>
        <v>5.5</v>
      </c>
    </row>
    <row r="16" customFormat="false" ht="15" hidden="false" customHeight="false" outlineLevel="0" collapsed="false">
      <c r="A16" s="10" t="s">
        <v>224</v>
      </c>
      <c r="B16" s="24" t="n">
        <f aca="false">B14*B15</f>
        <v>44</v>
      </c>
    </row>
    <row r="17" customFormat="false" ht="15" hidden="false" customHeight="false" outlineLevel="0" collapsed="false">
      <c r="A17" s="10" t="s">
        <v>225</v>
      </c>
      <c r="B17" s="21" t="n">
        <f aca="false">Historical!D28</f>
        <v>42</v>
      </c>
    </row>
    <row r="18" customFormat="false" ht="15" hidden="false" customHeight="false" outlineLevel="0" collapsed="false">
      <c r="A18" s="10" t="s">
        <v>226</v>
      </c>
      <c r="B18" s="24" t="n">
        <f aca="false">B16-B17</f>
        <v>2</v>
      </c>
    </row>
    <row r="19" customFormat="false" ht="15" hidden="false" customHeight="false" outlineLevel="0" collapsed="false">
      <c r="A19" s="10" t="s">
        <v>227</v>
      </c>
      <c r="B19" s="21" t="n">
        <f aca="false">Historical!D7+Historical!D21</f>
        <v>8.1</v>
      </c>
    </row>
    <row r="20" customFormat="false" ht="28.35" hidden="false" customHeight="false" outlineLevel="0" collapsed="false">
      <c r="A20" s="10" t="s">
        <v>228</v>
      </c>
      <c r="B20" s="24" t="n">
        <f aca="false">B14*B19</f>
        <v>64.8</v>
      </c>
    </row>
    <row r="22" customFormat="false" ht="36" hidden="false" customHeight="true" outlineLevel="0" collapsed="false">
      <c r="A22" s="10" t="s">
        <v>229</v>
      </c>
      <c r="B22" s="10"/>
      <c r="C22" s="10"/>
      <c r="D22" s="10"/>
      <c r="E22" s="10"/>
    </row>
    <row r="24" customFormat="false" ht="15" hidden="false" customHeight="false" outlineLevel="0" collapsed="false">
      <c r="A24" s="3" t="s">
        <v>230</v>
      </c>
      <c r="B24" s="3"/>
      <c r="C24" s="3"/>
      <c r="D24" s="3"/>
      <c r="E24" s="3"/>
    </row>
    <row r="25" customFormat="false" ht="23.85" hidden="false" customHeight="false" outlineLevel="0" collapsed="false">
      <c r="A25" s="19" t="s">
        <v>215</v>
      </c>
      <c r="B25" s="19" t="s">
        <v>231</v>
      </c>
      <c r="C25" s="19" t="s">
        <v>232</v>
      </c>
      <c r="D25" s="19" t="s">
        <v>233</v>
      </c>
    </row>
    <row r="26" customFormat="false" ht="15" hidden="false" customHeight="false" outlineLevel="0" collapsed="false">
      <c r="A26" s="27" t="n">
        <f aca="false">$B$14+(-1)</f>
        <v>7</v>
      </c>
      <c r="B26" s="27" t="n">
        <f aca="false">A26*$B$15</f>
        <v>38.5</v>
      </c>
      <c r="C26" s="27" t="n">
        <f aca="false">B26-$B$17</f>
        <v>-3.5</v>
      </c>
      <c r="D26" s="30" t="n">
        <f aca="false">IF($C$28&gt;0,C26/$C$28-1,"n.m.")</f>
        <v>-2.75</v>
      </c>
    </row>
    <row r="27" customFormat="false" ht="15" hidden="false" customHeight="false" outlineLevel="0" collapsed="false">
      <c r="A27" s="27" t="n">
        <f aca="false">$B$14+(-0.5)</f>
        <v>7.5</v>
      </c>
      <c r="B27" s="27" t="n">
        <f aca="false">A27*$B$15</f>
        <v>41.25</v>
      </c>
      <c r="C27" s="27" t="n">
        <f aca="false">B27-$B$17</f>
        <v>-0.75</v>
      </c>
      <c r="D27" s="30" t="n">
        <f aca="false">IF($C$28&gt;0,C27/$C$28-1,"n.m.")</f>
        <v>-1.375</v>
      </c>
    </row>
    <row r="28" customFormat="false" ht="15" hidden="false" customHeight="false" outlineLevel="0" collapsed="false">
      <c r="A28" s="27" t="n">
        <f aca="false">$B$14+(0)</f>
        <v>8</v>
      </c>
      <c r="B28" s="27" t="n">
        <f aca="false">A28*$B$15</f>
        <v>44</v>
      </c>
      <c r="C28" s="27" t="n">
        <f aca="false">B28-$B$17</f>
        <v>2</v>
      </c>
      <c r="D28" s="30" t="n">
        <f aca="false">IF($C$28&gt;0,C28/$C$28-1,"n.m.")</f>
        <v>0</v>
      </c>
    </row>
    <row r="29" customFormat="false" ht="15" hidden="false" customHeight="false" outlineLevel="0" collapsed="false">
      <c r="A29" s="27" t="n">
        <f aca="false">$B$14+(0.5)</f>
        <v>8.5</v>
      </c>
      <c r="B29" s="27" t="n">
        <f aca="false">A29*$B$15</f>
        <v>46.75</v>
      </c>
      <c r="C29" s="27" t="n">
        <f aca="false">B29-$B$17</f>
        <v>4.75</v>
      </c>
      <c r="D29" s="30" t="n">
        <f aca="false">IF($C$28&gt;0,C29/$C$28-1,"n.m.")</f>
        <v>1.375</v>
      </c>
    </row>
    <row r="30" customFormat="false" ht="15" hidden="false" customHeight="false" outlineLevel="0" collapsed="false">
      <c r="A30" s="27" t="n">
        <f aca="false">$B$14+(1)</f>
        <v>9</v>
      </c>
      <c r="B30" s="27" t="n">
        <f aca="false">A30*$B$15</f>
        <v>49.5</v>
      </c>
      <c r="C30" s="27" t="n">
        <f aca="false">B30-$B$17</f>
        <v>7.5</v>
      </c>
      <c r="D30" s="30" t="n">
        <f aca="false">IF($C$28&gt;0,C30/$C$28-1,"n.m.")</f>
        <v>2.75</v>
      </c>
    </row>
    <row r="31" customFormat="false" ht="31.5" hidden="false" customHeight="true" outlineLevel="0" collapsed="false">
      <c r="A31" s="5" t="s">
        <v>234</v>
      </c>
      <c r="B31" s="5"/>
      <c r="C31" s="5"/>
      <c r="D31" s="5"/>
      <c r="E31" s="5"/>
    </row>
  </sheetData>
  <mergeCells count="7">
    <mergeCell ref="A1:E1"/>
    <mergeCell ref="A2:E2"/>
    <mergeCell ref="A4:E4"/>
    <mergeCell ref="A13:E13"/>
    <mergeCell ref="A22:E22"/>
    <mergeCell ref="A24:E24"/>
    <mergeCell ref="A31:E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3"/>
    <col collapsed="false" customWidth="true" hidden="false" outlineLevel="0" max="2" min="2" style="0" width="20"/>
    <col collapsed="false" customWidth="true" hidden="false" outlineLevel="0" max="4" min="3" style="0" width="22"/>
    <col collapsed="false" customWidth="true" hidden="false" outlineLevel="0" max="5" min="5" style="0" width="68"/>
  </cols>
  <sheetData>
    <row r="1" customFormat="false" ht="30" hidden="false" customHeight="true" outlineLevel="0" collapsed="false">
      <c r="A1" s="1" t="s">
        <v>235</v>
      </c>
      <c r="B1" s="1"/>
      <c r="C1" s="1"/>
      <c r="D1" s="1"/>
      <c r="E1" s="1"/>
    </row>
    <row r="2" customFormat="false" ht="30" hidden="false" customHeight="true" outlineLevel="0" collapsed="false">
      <c r="A2" s="2" t="s">
        <v>236</v>
      </c>
      <c r="B2" s="2"/>
      <c r="C2" s="2"/>
      <c r="D2" s="2"/>
      <c r="E2" s="2"/>
    </row>
    <row r="4" customFormat="false" ht="15" hidden="false" customHeight="false" outlineLevel="0" collapsed="false">
      <c r="A4" s="3" t="s">
        <v>237</v>
      </c>
      <c r="B4" s="3"/>
      <c r="C4" s="3"/>
      <c r="D4" s="3"/>
      <c r="E4" s="3"/>
    </row>
    <row r="5" customFormat="false" ht="15" hidden="false" customHeight="false" outlineLevel="0" collapsed="false">
      <c r="A5" s="10" t="s">
        <v>238</v>
      </c>
      <c r="B5" s="21" t="n">
        <f aca="false">Comps!B18</f>
        <v>2</v>
      </c>
      <c r="E5" s="10" t="s">
        <v>239</v>
      </c>
    </row>
    <row r="6" customFormat="false" ht="15" hidden="false" customHeight="false" outlineLevel="0" collapsed="false">
      <c r="A6" s="10" t="s">
        <v>104</v>
      </c>
      <c r="B6" s="22" t="n">
        <f aca="false">Assumptions!$B$26</f>
        <v>0.2</v>
      </c>
      <c r="E6" s="10" t="s">
        <v>240</v>
      </c>
    </row>
    <row r="7" customFormat="false" ht="15" hidden="false" customHeight="false" outlineLevel="0" collapsed="false">
      <c r="A7" s="10" t="s">
        <v>241</v>
      </c>
      <c r="B7" s="24" t="n">
        <f aca="false">B5*(1+B6)</f>
        <v>2.4</v>
      </c>
      <c r="E7" s="10" t="s">
        <v>242</v>
      </c>
    </row>
    <row r="8" customFormat="false" ht="15" hidden="false" customHeight="false" outlineLevel="0" collapsed="false">
      <c r="A8" s="10" t="s">
        <v>243</v>
      </c>
      <c r="B8" s="21" t="n">
        <f aca="false">Assumptions!$B$28</f>
        <v>14</v>
      </c>
      <c r="E8" s="10" t="s">
        <v>244</v>
      </c>
    </row>
    <row r="9" customFormat="false" ht="15" hidden="false" customHeight="false" outlineLevel="0" collapsed="false">
      <c r="A9" s="10" t="s">
        <v>245</v>
      </c>
      <c r="B9" s="21" t="n">
        <f aca="false">Assumptions!$B$29</f>
        <v>28</v>
      </c>
      <c r="E9" s="10" t="s">
        <v>246</v>
      </c>
    </row>
    <row r="10" customFormat="false" ht="15" hidden="false" customHeight="false" outlineLevel="0" collapsed="false">
      <c r="A10" s="10" t="s">
        <v>247</v>
      </c>
      <c r="B10" s="21" t="n">
        <f aca="false">B7*Assumptions!$B$27</f>
        <v>0.036</v>
      </c>
      <c r="E10" s="10" t="s">
        <v>248</v>
      </c>
    </row>
    <row r="11" customFormat="false" ht="15" hidden="false" customHeight="false" outlineLevel="0" collapsed="false">
      <c r="A11" s="10" t="s">
        <v>249</v>
      </c>
      <c r="B11" s="24" t="n">
        <f aca="false">SUM(B7:B10)-B9</f>
        <v>16.436</v>
      </c>
      <c r="E11" s="10" t="s">
        <v>250</v>
      </c>
    </row>
    <row r="12" customFormat="false" ht="15" hidden="false" customHeight="false" outlineLevel="0" collapsed="false">
      <c r="A12" s="10" t="s">
        <v>251</v>
      </c>
      <c r="B12" s="24" t="n">
        <f aca="false">B7+B8+B9</f>
        <v>44.4</v>
      </c>
      <c r="E12" s="10" t="s">
        <v>252</v>
      </c>
    </row>
    <row r="15" customFormat="false" ht="15" hidden="false" customHeight="false" outlineLevel="0" collapsed="false">
      <c r="A15" s="3" t="s">
        <v>253</v>
      </c>
      <c r="B15" s="3"/>
      <c r="C15" s="3"/>
      <c r="D15" s="3"/>
      <c r="E15" s="3"/>
    </row>
    <row r="16" customFormat="false" ht="15" hidden="false" customHeight="false" outlineLevel="0" collapsed="false">
      <c r="A16" s="19" t="s">
        <v>254</v>
      </c>
      <c r="B16" s="19" t="s">
        <v>255</v>
      </c>
      <c r="C16" s="19" t="s">
        <v>256</v>
      </c>
      <c r="D16" s="19" t="s">
        <v>255</v>
      </c>
      <c r="E16" s="19" t="s">
        <v>257</v>
      </c>
    </row>
    <row r="17" customFormat="false" ht="15" hidden="false" customHeight="false" outlineLevel="0" collapsed="false">
      <c r="A17" s="10" t="s">
        <v>258</v>
      </c>
      <c r="B17" s="24" t="n">
        <f aca="false">B7</f>
        <v>2.4</v>
      </c>
      <c r="C17" s="10" t="s">
        <v>259</v>
      </c>
      <c r="D17" s="21" t="n">
        <f aca="false">B20*Assumptions!$B$30</f>
        <v>9.0398</v>
      </c>
    </row>
    <row r="18" customFormat="false" ht="15" hidden="false" customHeight="false" outlineLevel="0" collapsed="false">
      <c r="A18" s="10" t="s">
        <v>260</v>
      </c>
      <c r="B18" s="24" t="n">
        <f aca="false">B8</f>
        <v>14</v>
      </c>
      <c r="C18" s="10" t="s">
        <v>261</v>
      </c>
      <c r="D18" s="21" t="n">
        <f aca="false">B7*Assumptions!$B$39</f>
        <v>0.6</v>
      </c>
    </row>
    <row r="19" customFormat="false" ht="28.35" hidden="false" customHeight="false" outlineLevel="0" collapsed="false">
      <c r="A19" s="10" t="s">
        <v>247</v>
      </c>
      <c r="B19" s="24" t="n">
        <f aca="false">B10</f>
        <v>0.036</v>
      </c>
      <c r="C19" s="10" t="s">
        <v>262</v>
      </c>
      <c r="D19" s="24" t="n">
        <f aca="false">B20-D17-D18</f>
        <v>6.7962</v>
      </c>
    </row>
    <row r="20" customFormat="false" ht="15" hidden="false" customHeight="false" outlineLevel="0" collapsed="false">
      <c r="A20" s="10" t="s">
        <v>249</v>
      </c>
      <c r="B20" s="24" t="n">
        <f aca="false">SUM(B17:B19)</f>
        <v>16.436</v>
      </c>
      <c r="C20" s="10" t="s">
        <v>263</v>
      </c>
      <c r="D20" s="24" t="n">
        <f aca="false">SUM(D17:D19)</f>
        <v>16.436</v>
      </c>
    </row>
    <row r="22" customFormat="false" ht="15" hidden="false" customHeight="false" outlineLevel="0" collapsed="false">
      <c r="A22" s="10" t="s">
        <v>264</v>
      </c>
      <c r="B22" s="24" t="n">
        <f aca="false">D20-B20</f>
        <v>0</v>
      </c>
      <c r="E22" s="10" t="s">
        <v>265</v>
      </c>
    </row>
    <row r="24" customFormat="false" ht="15" hidden="false" customHeight="false" outlineLevel="0" collapsed="false">
      <c r="A24" s="10" t="s">
        <v>259</v>
      </c>
      <c r="B24" s="24" t="n">
        <f aca="false">D17</f>
        <v>9.0398</v>
      </c>
    </row>
    <row r="25" customFormat="false" ht="28.35" hidden="false" customHeight="false" outlineLevel="0" collapsed="false">
      <c r="A25" s="10" t="s">
        <v>266</v>
      </c>
      <c r="B25" s="31" t="n">
        <f aca="false">D18/Assumptions!$B$38</f>
        <v>0.04</v>
      </c>
      <c r="E25" s="10" t="s">
        <v>267</v>
      </c>
    </row>
    <row r="26" customFormat="false" ht="28.35" hidden="false" customHeight="false" outlineLevel="0" collapsed="false">
      <c r="A26" s="10" t="s">
        <v>268</v>
      </c>
      <c r="B26" s="24" t="n">
        <f aca="false">B8+B9-Comps!B17</f>
        <v>0</v>
      </c>
    </row>
    <row r="28" customFormat="false" ht="42" hidden="false" customHeight="true" outlineLevel="0" collapsed="false">
      <c r="A28" s="10" t="s">
        <v>269</v>
      </c>
      <c r="B28" s="10"/>
      <c r="C28" s="10"/>
      <c r="D28" s="10"/>
      <c r="E28" s="10"/>
    </row>
  </sheetData>
  <mergeCells count="5">
    <mergeCell ref="A1:E1"/>
    <mergeCell ref="A2:E2"/>
    <mergeCell ref="A4:E4"/>
    <mergeCell ref="A15:E15"/>
    <mergeCell ref="A28:E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74"/>
  </cols>
  <sheetData>
    <row r="1" customFormat="false" ht="30" hidden="false" customHeight="true" outlineLevel="0" collapsed="false">
      <c r="A1" s="1" t="s">
        <v>270</v>
      </c>
      <c r="B1" s="1"/>
      <c r="C1" s="1"/>
    </row>
    <row r="2" customFormat="false" ht="30" hidden="false" customHeight="true" outlineLevel="0" collapsed="false">
      <c r="A2" s="2" t="s">
        <v>271</v>
      </c>
      <c r="B2" s="2"/>
      <c r="C2" s="2"/>
    </row>
    <row r="4" customFormat="false" ht="15" hidden="false" customHeight="false" outlineLevel="0" collapsed="false">
      <c r="A4" s="3" t="s">
        <v>272</v>
      </c>
      <c r="B4" s="3"/>
      <c r="C4" s="3"/>
    </row>
    <row r="5" customFormat="false" ht="15" hidden="false" customHeight="false" outlineLevel="0" collapsed="false">
      <c r="A5" s="10" t="s">
        <v>114</v>
      </c>
      <c r="B5" s="21" t="n">
        <f aca="false">Assumptions!$B$31</f>
        <v>-0.4</v>
      </c>
      <c r="C5" s="10" t="s">
        <v>273</v>
      </c>
    </row>
    <row r="6" customFormat="false" ht="15" hidden="false" customHeight="false" outlineLevel="0" collapsed="false">
      <c r="A6" s="10" t="s">
        <v>116</v>
      </c>
      <c r="B6" s="32" t="n">
        <f aca="false">Assumptions!$B$32</f>
        <v>0.7</v>
      </c>
      <c r="C6" s="10" t="s">
        <v>274</v>
      </c>
    </row>
    <row r="7" customFormat="false" ht="15" hidden="false" customHeight="false" outlineLevel="0" collapsed="false">
      <c r="A7" s="10" t="s">
        <v>275</v>
      </c>
      <c r="B7" s="33" t="n">
        <f aca="false">B5/B6</f>
        <v>-0.571428571428572</v>
      </c>
      <c r="C7" s="10" t="s">
        <v>276</v>
      </c>
    </row>
    <row r="8" customFormat="false" ht="15" hidden="false" customHeight="false" outlineLevel="0" collapsed="false">
      <c r="A8" s="10" t="s">
        <v>118</v>
      </c>
      <c r="B8" s="21" t="n">
        <f aca="false">Assumptions!$B$33</f>
        <v>-1</v>
      </c>
      <c r="C8" s="10" t="s">
        <v>277</v>
      </c>
    </row>
    <row r="9" customFormat="false" ht="15" hidden="false" customHeight="false" outlineLevel="0" collapsed="false">
      <c r="A9" s="10" t="s">
        <v>176</v>
      </c>
      <c r="B9" s="21" t="n">
        <f aca="false">Assumptions!$B$34*Assumptions!$B$35</f>
        <v>0.525</v>
      </c>
      <c r="C9" s="10" t="s">
        <v>278</v>
      </c>
    </row>
    <row r="10" customFormat="false" ht="15" hidden="false" customHeight="false" outlineLevel="0" collapsed="false">
      <c r="A10" s="10" t="s">
        <v>279</v>
      </c>
      <c r="B10" s="21" t="n">
        <f aca="false">Assumptions!$B$37</f>
        <v>0.25</v>
      </c>
      <c r="C10" s="10" t="s">
        <v>280</v>
      </c>
    </row>
    <row r="11" customFormat="false" ht="15" hidden="false" customHeight="false" outlineLevel="0" collapsed="false">
      <c r="A11" s="10" t="s">
        <v>281</v>
      </c>
      <c r="B11" s="21" t="n">
        <f aca="false">Assumptions!$B$36</f>
        <v>1</v>
      </c>
      <c r="C11" s="10" t="s">
        <v>282</v>
      </c>
    </row>
    <row r="12" customFormat="false" ht="15" hidden="false" customHeight="false" outlineLevel="0" collapsed="false">
      <c r="A12" s="10" t="s">
        <v>283</v>
      </c>
      <c r="B12" s="24" t="n">
        <f aca="false">B9-B10-B11</f>
        <v>-0.725</v>
      </c>
      <c r="C12" s="10" t="s">
        <v>284</v>
      </c>
    </row>
    <row r="13" customFormat="false" ht="15" hidden="false" customHeight="false" outlineLevel="0" collapsed="false">
      <c r="A13" s="10" t="s">
        <v>285</v>
      </c>
      <c r="B13" s="21" t="n">
        <f aca="false">B12*(1-Assumptions!$B$17)</f>
        <v>-0.54375</v>
      </c>
      <c r="C13" s="10" t="s">
        <v>286</v>
      </c>
    </row>
    <row r="14" customFormat="false" ht="15" hidden="false" customHeight="false" outlineLevel="0" collapsed="false">
      <c r="A14" s="10" t="s">
        <v>287</v>
      </c>
      <c r="B14" s="21" t="n">
        <f aca="false">Transaction!D17</f>
        <v>9.0398</v>
      </c>
      <c r="C14" s="10" t="s">
        <v>288</v>
      </c>
    </row>
    <row r="15" customFormat="false" ht="28.35" hidden="false" customHeight="false" outlineLevel="0" collapsed="false">
      <c r="A15" s="10" t="s">
        <v>289</v>
      </c>
      <c r="B15" s="21" t="n">
        <f aca="false">B29*(1-Assumptions!$B$17)</f>
        <v>0.10477055</v>
      </c>
      <c r="C15" s="10" t="s">
        <v>290</v>
      </c>
    </row>
    <row r="16" customFormat="false" ht="15" hidden="false" customHeight="false" outlineLevel="0" collapsed="false">
      <c r="A16" s="10" t="s">
        <v>291</v>
      </c>
      <c r="B16" s="32" t="n">
        <f aca="false">Transaction!B25</f>
        <v>0.04</v>
      </c>
      <c r="C16" s="10" t="s">
        <v>292</v>
      </c>
    </row>
    <row r="17" customFormat="false" ht="15" hidden="false" customHeight="false" outlineLevel="0" collapsed="false">
      <c r="A17" s="10" t="s">
        <v>293</v>
      </c>
      <c r="B17" s="24" t="n">
        <f aca="false">B5+B8+B13-B15</f>
        <v>-2.04852055</v>
      </c>
      <c r="C17" s="10" t="s">
        <v>294</v>
      </c>
    </row>
    <row r="18" customFormat="false" ht="15" hidden="false" customHeight="false" outlineLevel="0" collapsed="false">
      <c r="A18" s="10" t="s">
        <v>295</v>
      </c>
      <c r="B18" s="34" t="n">
        <f aca="false">B6+B16</f>
        <v>0.74</v>
      </c>
      <c r="C18" s="10" t="s">
        <v>296</v>
      </c>
    </row>
    <row r="19" customFormat="false" ht="15" hidden="false" customHeight="false" outlineLevel="0" collapsed="false">
      <c r="A19" s="10" t="s">
        <v>297</v>
      </c>
      <c r="B19" s="33" t="n">
        <f aca="false">B17/B18</f>
        <v>-2.76827101351351</v>
      </c>
      <c r="C19" s="10" t="s">
        <v>297</v>
      </c>
    </row>
    <row r="20" customFormat="false" ht="28.35" hidden="false" customHeight="false" outlineLevel="0" collapsed="false">
      <c r="A20" s="10" t="s">
        <v>298</v>
      </c>
      <c r="B20" s="35" t="str">
        <f aca="false">IF(B7&gt;0,B19/B7-1,"n.m.")</f>
        <v>n.m.</v>
      </c>
      <c r="C20" s="10" t="s">
        <v>299</v>
      </c>
    </row>
    <row r="21" customFormat="false" ht="15" hidden="false" customHeight="false" outlineLevel="0" collapsed="false">
      <c r="A21" s="10" t="s">
        <v>300</v>
      </c>
      <c r="B21" s="33" t="n">
        <f aca="false">B19-B7</f>
        <v>-2.19684244208494</v>
      </c>
      <c r="C21" s="10" t="s">
        <v>301</v>
      </c>
    </row>
    <row r="22" customFormat="false" ht="15" hidden="false" customHeight="false" outlineLevel="0" collapsed="false">
      <c r="A22" s="10" t="s">
        <v>302</v>
      </c>
      <c r="B22" s="33" t="n">
        <f aca="false">(B17+B11*(1-Assumptions!$B$17))/B18</f>
        <v>-1.7547575</v>
      </c>
      <c r="C22" s="10" t="s">
        <v>303</v>
      </c>
    </row>
    <row r="23" customFormat="false" ht="42" hidden="false" customHeight="true" outlineLevel="0" collapsed="false">
      <c r="A23" s="10" t="s">
        <v>304</v>
      </c>
      <c r="B23" s="33" t="n">
        <f aca="false">B22-B7</f>
        <v>-1.18332892857143</v>
      </c>
      <c r="C23" s="10" t="s">
        <v>305</v>
      </c>
    </row>
    <row r="25" customFormat="false" ht="15" hidden="false" customHeight="false" outlineLevel="0" collapsed="false">
      <c r="A25" s="3" t="s">
        <v>306</v>
      </c>
      <c r="B25" s="3"/>
      <c r="C25" s="3"/>
    </row>
    <row r="26" customFormat="false" ht="15" hidden="false" customHeight="false" outlineLevel="0" collapsed="false">
      <c r="A26" s="10" t="s">
        <v>307</v>
      </c>
      <c r="B26" s="24" t="n">
        <f aca="false">B14*Assumptions!$B$22</f>
        <v>0.587587</v>
      </c>
      <c r="C26" s="10" t="s">
        <v>308</v>
      </c>
    </row>
    <row r="27" customFormat="false" ht="15" hidden="false" customHeight="false" outlineLevel="0" collapsed="false">
      <c r="A27" s="10" t="s">
        <v>309</v>
      </c>
      <c r="B27" s="21" t="n">
        <f aca="false">Transaction!D19*Assumptions!$B$19</f>
        <v>0.2854404</v>
      </c>
      <c r="C27" s="10" t="s">
        <v>310</v>
      </c>
    </row>
    <row r="28" customFormat="false" ht="28.35" hidden="false" customHeight="false" outlineLevel="0" collapsed="false">
      <c r="A28" s="10" t="s">
        <v>311</v>
      </c>
      <c r="B28" s="21" t="n">
        <f aca="false">-Assumptions!$B$28*(-Historical!D24/Historical!D28)</f>
        <v>-0.733333333333333</v>
      </c>
      <c r="C28" s="10" t="s">
        <v>312</v>
      </c>
    </row>
    <row r="29" customFormat="false" ht="15" hidden="false" customHeight="false" outlineLevel="0" collapsed="false">
      <c r="A29" s="10" t="s">
        <v>313</v>
      </c>
      <c r="B29" s="24" t="n">
        <f aca="false">SUM(B26:B28)</f>
        <v>0.139694066666667</v>
      </c>
      <c r="C29" s="10"/>
    </row>
    <row r="31" customFormat="false" ht="42" hidden="false" customHeight="true" outlineLevel="0" collapsed="false">
      <c r="A31" s="10" t="s">
        <v>314</v>
      </c>
      <c r="B31" s="10"/>
      <c r="C31" s="10"/>
    </row>
  </sheetData>
  <mergeCells count="5">
    <mergeCell ref="A1:C1"/>
    <mergeCell ref="A2:C2"/>
    <mergeCell ref="A4:C4"/>
    <mergeCell ref="A25:C25"/>
    <mergeCell ref="A31:C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9"/>
    <col collapsed="false" customWidth="true" hidden="false" outlineLevel="0" max="7" min="2" style="0" width="16"/>
  </cols>
  <sheetData>
    <row r="1" customFormat="false" ht="30" hidden="false" customHeight="true" outlineLevel="0" collapsed="false">
      <c r="A1" s="1" t="s">
        <v>315</v>
      </c>
      <c r="B1" s="1"/>
      <c r="C1" s="1"/>
      <c r="D1" s="1"/>
      <c r="E1" s="1"/>
      <c r="F1" s="1"/>
      <c r="G1" s="1"/>
    </row>
    <row r="2" customFormat="false" ht="30" hidden="false" customHeight="true" outlineLevel="0" collapsed="false">
      <c r="A2" s="2" t="s">
        <v>316</v>
      </c>
      <c r="B2" s="2"/>
      <c r="C2" s="2"/>
      <c r="D2" s="2"/>
      <c r="E2" s="2"/>
      <c r="F2" s="2"/>
      <c r="G2" s="2"/>
    </row>
    <row r="4" customFormat="false" ht="15" hidden="false" customHeight="false" outlineLevel="0" collapsed="false">
      <c r="A4" s="3" t="s">
        <v>317</v>
      </c>
      <c r="B4" s="3"/>
      <c r="C4" s="3"/>
      <c r="D4" s="3"/>
      <c r="E4" s="3"/>
      <c r="F4" s="3"/>
      <c r="G4" s="3"/>
    </row>
    <row r="5" customFormat="false" ht="15" hidden="false" customHeight="false" outlineLevel="0" collapsed="false">
      <c r="A5" s="10" t="s">
        <v>318</v>
      </c>
      <c r="B5" s="36" t="n">
        <v>0.01</v>
      </c>
      <c r="C5" s="36" t="n">
        <v>0.02</v>
      </c>
      <c r="D5" s="36" t="n">
        <v>0.025</v>
      </c>
      <c r="E5" s="36" t="n">
        <v>0.03</v>
      </c>
      <c r="F5" s="36" t="n">
        <v>0.035</v>
      </c>
    </row>
    <row r="6" customFormat="false" ht="15" hidden="false" customHeight="false" outlineLevel="0" collapsed="false">
      <c r="A6" s="36" t="n">
        <v>0.075</v>
      </c>
      <c r="B6" s="21" t="n">
        <f aca="false">SUMPRODUCT(DCF!$B$11:$F$11,1/(1+$A6)^DCF!$B$12:$F$12)+(DCF!$B$43*(1+B$5)/($A6-B$5))/(1+$A6)^5</f>
        <v>86.1411079017103</v>
      </c>
      <c r="C6" s="21" t="n">
        <f aca="false">SUMPRODUCT(DCF!$B$11:$F$11,1/(1+$A6)^DCF!$B$12:$F$12)+(DCF!$B$43*(1+C$5)/($A6-C$5))/(1+$A6)^5</f>
        <v>98.4862425495987</v>
      </c>
      <c r="D6" s="21" t="n">
        <f aca="false">SUMPRODUCT(DCF!$B$11:$F$11,1/(1+$A6)^DCF!$B$12:$F$12)+(DCF!$B$43*(1+D$5)/($A6-D$5))/(1+$A6)^5</f>
        <v>106.510580070726</v>
      </c>
      <c r="E6" s="21" t="n">
        <f aca="false">SUMPRODUCT(DCF!$B$11:$F$11,1/(1+$A6)^DCF!$B$12:$F$12)+(DCF!$B$43*(1+E$5)/($A6-E$5))/(1+$A6)^5</f>
        <v>116.31810370766</v>
      </c>
      <c r="F6" s="21" t="n">
        <f aca="false">SUMPRODUCT(DCF!$B$11:$F$11,1/(1+$A6)^DCF!$B$12:$F$12)+(DCF!$B$43*(1+F$5)/($A6-F$5))/(1+$A6)^5</f>
        <v>128.577508253827</v>
      </c>
    </row>
    <row r="7" customFormat="false" ht="15" hidden="false" customHeight="false" outlineLevel="0" collapsed="false">
      <c r="A7" s="36" t="n">
        <v>0.08</v>
      </c>
      <c r="B7" s="21" t="n">
        <f aca="false">SUMPRODUCT(DCF!$B$11:$F$11,1/(1+$A7)^DCF!$B$12:$F$12)+(DCF!$B$43*(1+B$5)/($A7-B$5))/(1+$A7)^5</f>
        <v>79.916671678301</v>
      </c>
      <c r="C7" s="21" t="n">
        <f aca="false">SUMPRODUCT(DCF!$B$11:$F$11,1/(1+$A7)^DCF!$B$12:$F$12)+(DCF!$B$43*(1+C$5)/($A7-C$5))/(1+$A7)^5</f>
        <v>90.2314861742244</v>
      </c>
      <c r="D7" s="21" t="n">
        <f aca="false">SUMPRODUCT(DCF!$B$11:$F$11,1/(1+$A7)^DCF!$B$12:$F$12)+(DCF!$B$43*(1+D$5)/($A7-D$5))/(1+$A7)^5</f>
        <v>96.7954590352666</v>
      </c>
      <c r="E7" s="21" t="n">
        <f aca="false">SUMPRODUCT(DCF!$B$11:$F$11,1/(1+$A7)^DCF!$B$12:$F$12)+(DCF!$B$43*(1+E$5)/($A7-E$5))/(1+$A7)^5</f>
        <v>104.672226468517</v>
      </c>
      <c r="F7" s="21" t="n">
        <f aca="false">SUMPRODUCT(DCF!$B$11:$F$11,1/(1+$A7)^DCF!$B$12:$F$12)+(DCF!$B$43*(1+F$5)/($A7-F$5))/(1+$A7)^5</f>
        <v>114.299386664712</v>
      </c>
    </row>
    <row r="8" customFormat="false" ht="15" hidden="false" customHeight="false" outlineLevel="0" collapsed="false">
      <c r="A8" s="36" t="n">
        <v>0.085</v>
      </c>
      <c r="B8" s="21" t="n">
        <f aca="false">SUMPRODUCT(DCF!$B$11:$F$11,1/(1+$A8)^DCF!$B$12:$F$12)+(DCF!$B$43*(1+B$5)/($A8-B$5))/(1+$A8)^5</f>
        <v>74.5222734300528</v>
      </c>
      <c r="C8" s="21" t="n">
        <f aca="false">SUMPRODUCT(DCF!$B$11:$F$11,1/(1+$A8)^DCF!$B$12:$F$12)+(DCF!$B$43*(1+C$5)/($A8-C$5))/(1+$A8)^5</f>
        <v>83.2462032154142</v>
      </c>
      <c r="D8" s="21" t="n">
        <f aca="false">SUMPRODUCT(DCF!$B$11:$F$11,1/(1+$A8)^DCF!$B$12:$F$12)+(DCF!$B$43*(1+D$5)/($A8-D$5))/(1+$A8)^5</f>
        <v>88.698659331265</v>
      </c>
      <c r="E8" s="21" t="n">
        <f aca="false">SUMPRODUCT(DCF!$B$11:$F$11,1/(1+$A8)^DCF!$B$12:$F$12)+(DCF!$B$43*(1+E$5)/($A8-E$5))/(1+$A8)^5</f>
        <v>95.1424711045433</v>
      </c>
      <c r="F8" s="21" t="n">
        <f aca="false">SUMPRODUCT(DCF!$B$11:$F$11,1/(1+$A8)^DCF!$B$12:$F$12)+(DCF!$B$43*(1+F$5)/($A8-F$5))/(1+$A8)^5</f>
        <v>102.875045232477</v>
      </c>
    </row>
    <row r="9" customFormat="false" ht="15" hidden="false" customHeight="false" outlineLevel="0" collapsed="false">
      <c r="A9" s="36" t="n">
        <v>0.09</v>
      </c>
      <c r="B9" s="21" t="n">
        <f aca="false">SUMPRODUCT(DCF!$B$11:$F$11,1/(1+$A9)^DCF!$B$12:$F$12)+(DCF!$B$43*(1+B$5)/($A9-B$5))/(1+$A9)^5</f>
        <v>69.8023032678957</v>
      </c>
      <c r="C9" s="21" t="n">
        <f aca="false">SUMPRODUCT(DCF!$B$11:$F$11,1/(1+$A9)^DCF!$B$12:$F$12)+(DCF!$B$43*(1+C$5)/($A9-C$5))/(1+$A9)^5</f>
        <v>77.2584031207507</v>
      </c>
      <c r="D9" s="21" t="n">
        <f aca="false">SUMPRODUCT(DCF!$B$11:$F$11,1/(1+$A9)^DCF!$B$12:$F$12)+(DCF!$B$43*(1+D$5)/($A9-D$5))/(1+$A9)^5</f>
        <v>81.8467722609691</v>
      </c>
      <c r="E9" s="21" t="n">
        <f aca="false">SUMPRODUCT(DCF!$B$11:$F$11,1/(1+$A9)^DCF!$B$12:$F$12)+(DCF!$B$43*(1+E$5)/($A9-E$5))/(1+$A9)^5</f>
        <v>87.199869591224</v>
      </c>
      <c r="F9" s="21" t="n">
        <f aca="false">SUMPRODUCT(DCF!$B$11:$F$11,1/(1+$A9)^DCF!$B$12:$F$12)+(DCF!$B$43*(1+F$5)/($A9-F$5))/(1+$A9)^5</f>
        <v>93.5262573451616</v>
      </c>
    </row>
    <row r="10" customFormat="false" ht="15" hidden="false" customHeight="false" outlineLevel="0" collapsed="false">
      <c r="A10" s="36" t="n">
        <v>0.095</v>
      </c>
      <c r="B10" s="21" t="n">
        <f aca="false">SUMPRODUCT(DCF!$B$11:$F$11,1/(1+$A10)^DCF!$B$12:$F$12)+(DCF!$B$43*(1+B$5)/($A10-B$5))/(1+$A10)^5</f>
        <v>65.6377641136718</v>
      </c>
      <c r="C10" s="21" t="n">
        <f aca="false">SUMPRODUCT(DCF!$B$11:$F$11,1/(1+$A10)^DCF!$B$12:$F$12)+(DCF!$B$43*(1+C$5)/($A10-C$5))/(1+$A10)^5</f>
        <v>72.0686243117461</v>
      </c>
      <c r="D10" s="21" t="n">
        <f aca="false">SUMPRODUCT(DCF!$B$11:$F$11,1/(1+$A10)^DCF!$B$12:$F$12)+(DCF!$B$43*(1+D$5)/($A10-D$5))/(1+$A10)^5</f>
        <v>75.9730751462912</v>
      </c>
      <c r="E10" s="21" t="n">
        <f aca="false">SUMPRODUCT(DCF!$B$11:$F$11,1/(1+$A10)^DCF!$B$12:$F$12)+(DCF!$B$43*(1+E$5)/($A10-E$5))/(1+$A10)^5</f>
        <v>80.4782107246125</v>
      </c>
      <c r="F10" s="21" t="n">
        <f aca="false">SUMPRODUCT(DCF!$B$11:$F$11,1/(1+$A10)^DCF!$B$12:$F$12)+(DCF!$B$43*(1+F$5)/($A10-F$5))/(1+$A10)^5</f>
        <v>85.734202232654</v>
      </c>
    </row>
    <row r="14" customFormat="false" ht="15" hidden="false" customHeight="false" outlineLevel="0" collapsed="false">
      <c r="A14" s="3" t="s">
        <v>319</v>
      </c>
      <c r="B14" s="3"/>
      <c r="C14" s="3"/>
      <c r="D14" s="3"/>
      <c r="E14" s="3"/>
      <c r="F14" s="3"/>
      <c r="G14" s="3"/>
    </row>
    <row r="15" customFormat="false" ht="15" hidden="false" customHeight="false" outlineLevel="0" collapsed="false">
      <c r="A15" s="10" t="s">
        <v>320</v>
      </c>
      <c r="B15" s="20" t="n">
        <v>0.75</v>
      </c>
      <c r="C15" s="20" t="n">
        <v>1</v>
      </c>
      <c r="D15" s="20" t="n">
        <v>1.5</v>
      </c>
      <c r="E15" s="20" t="n">
        <v>2</v>
      </c>
      <c r="F15" s="20" t="n">
        <v>2.5</v>
      </c>
    </row>
    <row r="16" customFormat="false" ht="15" hidden="false" customHeight="false" outlineLevel="0" collapsed="false">
      <c r="A16" s="36" t="n">
        <v>0.35</v>
      </c>
      <c r="B16" s="37" t="n">
        <f aca="false">((Assumptions!$B$31+Assumptions!$B$33+(B$15*Assumptions!$B$35-Assumptions!$B$37-Assumptions!$B$36-(Transaction!$B$20*$A16*Assumptions!$B$22+(Transaction!$B$20-Transaction!$B$20*$A16-Transaction!$D$18)*Assumptions!$B$19-Assumptions!$B$28*(-Historical!$D$24/Historical!$D$28)))*(1-Assumptions!$B$17))/('Accretion-Dilution'!$B$6+Transaction!$B$25))-'Accretion-Dilution'!$B$7</f>
        <v>-2.38626244208494</v>
      </c>
      <c r="C16" s="37" t="n">
        <f aca="false">((Assumptions!$B$31+Assumptions!$B$33+(C$15*Assumptions!$B$35-Assumptions!$B$37-Assumptions!$B$36-(Transaction!$B$20*$A16*Assumptions!$B$22+(Transaction!$B$20-Transaction!$B$20*$A16-Transaction!$D$18)*Assumptions!$B$19-Assumptions!$B$28*(-Historical!$D$24/Historical!$D$28)))*(1-Assumptions!$B$17))/('Accretion-Dilution'!$B$6+Transaction!$B$25))-'Accretion-Dilution'!$B$7</f>
        <v>-2.29758000965251</v>
      </c>
      <c r="D16" s="37" t="n">
        <f aca="false">((Assumptions!$B$31+Assumptions!$B$33+(D$15*Assumptions!$B$35-Assumptions!$B$37-Assumptions!$B$36-(Transaction!$B$20*$A16*Assumptions!$B$22+(Transaction!$B$20-Transaction!$B$20*$A16-Transaction!$D$18)*Assumptions!$B$19-Assumptions!$B$28*(-Historical!$D$24/Historical!$D$28)))*(1-Assumptions!$B$17))/('Accretion-Dilution'!$B$6+Transaction!$B$25))-'Accretion-Dilution'!$B$7</f>
        <v>-2.12021514478764</v>
      </c>
      <c r="E16" s="37" t="n">
        <f aca="false">((Assumptions!$B$31+Assumptions!$B$33+(E$15*Assumptions!$B$35-Assumptions!$B$37-Assumptions!$B$36-(Transaction!$B$20*$A16*Assumptions!$B$22+(Transaction!$B$20-Transaction!$B$20*$A16-Transaction!$D$18)*Assumptions!$B$19-Assumptions!$B$28*(-Historical!$D$24/Historical!$D$28)))*(1-Assumptions!$B$17))/('Accretion-Dilution'!$B$6+Transaction!$B$25))-'Accretion-Dilution'!$B$7</f>
        <v>-1.94285027992278</v>
      </c>
      <c r="F16" s="37" t="n">
        <f aca="false">((Assumptions!$B$31+Assumptions!$B$33+(F$15*Assumptions!$B$35-Assumptions!$B$37-Assumptions!$B$36-(Transaction!$B$20*$A16*Assumptions!$B$22+(Transaction!$B$20-Transaction!$B$20*$A16-Transaction!$D$18)*Assumptions!$B$19-Assumptions!$B$28*(-Historical!$D$24/Historical!$D$28)))*(1-Assumptions!$B$17))/('Accretion-Dilution'!$B$6+Transaction!$B$25))-'Accretion-Dilution'!$B$7</f>
        <v>-1.76548541505791</v>
      </c>
    </row>
    <row r="17" customFormat="false" ht="15" hidden="false" customHeight="false" outlineLevel="0" collapsed="false">
      <c r="A17" s="36" t="n">
        <v>0.45</v>
      </c>
      <c r="B17" s="37" t="n">
        <f aca="false">((Assumptions!$B$31+Assumptions!$B$33+(B$15*Assumptions!$B$35-Assumptions!$B$37-Assumptions!$B$36-(Transaction!$B$20*$A17*Assumptions!$B$22+(Transaction!$B$20-Transaction!$B$20*$A17-Transaction!$D$18)*Assumptions!$B$19-Assumptions!$B$28*(-Historical!$D$24/Historical!$D$28)))*(1-Assumptions!$B$17))/('Accretion-Dilution'!$B$6+Transaction!$B$25))-'Accretion-Dilution'!$B$7</f>
        <v>-2.42457609073359</v>
      </c>
      <c r="C17" s="37" t="n">
        <f aca="false">((Assumptions!$B$31+Assumptions!$B$33+(C$15*Assumptions!$B$35-Assumptions!$B$37-Assumptions!$B$36-(Transaction!$B$20*$A17*Assumptions!$B$22+(Transaction!$B$20-Transaction!$B$20*$A17-Transaction!$D$18)*Assumptions!$B$19-Assumptions!$B$28*(-Historical!$D$24/Historical!$D$28)))*(1-Assumptions!$B$17))/('Accretion-Dilution'!$B$6+Transaction!$B$25))-'Accretion-Dilution'!$B$7</f>
        <v>-2.33589365830116</v>
      </c>
      <c r="D17" s="37" t="n">
        <f aca="false">((Assumptions!$B$31+Assumptions!$B$33+(D$15*Assumptions!$B$35-Assumptions!$B$37-Assumptions!$B$36-(Transaction!$B$20*$A17*Assumptions!$B$22+(Transaction!$B$20-Transaction!$B$20*$A17-Transaction!$D$18)*Assumptions!$B$19-Assumptions!$B$28*(-Historical!$D$24/Historical!$D$28)))*(1-Assumptions!$B$17))/('Accretion-Dilution'!$B$6+Transaction!$B$25))-'Accretion-Dilution'!$B$7</f>
        <v>-2.15852879343629</v>
      </c>
      <c r="E17" s="37" t="n">
        <f aca="false">((Assumptions!$B$31+Assumptions!$B$33+(E$15*Assumptions!$B$35-Assumptions!$B$37-Assumptions!$B$36-(Transaction!$B$20*$A17*Assumptions!$B$22+(Transaction!$B$20-Transaction!$B$20*$A17-Transaction!$D$18)*Assumptions!$B$19-Assumptions!$B$28*(-Historical!$D$24/Historical!$D$28)))*(1-Assumptions!$B$17))/('Accretion-Dilution'!$B$6+Transaction!$B$25))-'Accretion-Dilution'!$B$7</f>
        <v>-1.98116392857143</v>
      </c>
      <c r="F17" s="37" t="n">
        <f aca="false">((Assumptions!$B$31+Assumptions!$B$33+(F$15*Assumptions!$B$35-Assumptions!$B$37-Assumptions!$B$36-(Transaction!$B$20*$A17*Assumptions!$B$22+(Transaction!$B$20-Transaction!$B$20*$A17-Transaction!$D$18)*Assumptions!$B$19-Assumptions!$B$28*(-Historical!$D$24/Historical!$D$28)))*(1-Assumptions!$B$17))/('Accretion-Dilution'!$B$6+Transaction!$B$25))-'Accretion-Dilution'!$B$7</f>
        <v>-1.80379906370656</v>
      </c>
    </row>
    <row r="18" customFormat="false" ht="15" hidden="false" customHeight="false" outlineLevel="0" collapsed="false">
      <c r="A18" s="36" t="n">
        <v>0.55</v>
      </c>
      <c r="B18" s="37" t="n">
        <f aca="false">((Assumptions!$B$31+Assumptions!$B$33+(B$15*Assumptions!$B$35-Assumptions!$B$37-Assumptions!$B$36-(Transaction!$B$20*$A18*Assumptions!$B$22+(Transaction!$B$20-Transaction!$B$20*$A18-Transaction!$D$18)*Assumptions!$B$19-Assumptions!$B$28*(-Historical!$D$24/Historical!$D$28)))*(1-Assumptions!$B$17))/('Accretion-Dilution'!$B$6+Transaction!$B$25))-'Accretion-Dilution'!$B$7</f>
        <v>-2.46288973938224</v>
      </c>
      <c r="C18" s="37" t="n">
        <f aca="false">((Assumptions!$B$31+Assumptions!$B$33+(C$15*Assumptions!$B$35-Assumptions!$B$37-Assumptions!$B$36-(Transaction!$B$20*$A18*Assumptions!$B$22+(Transaction!$B$20-Transaction!$B$20*$A18-Transaction!$D$18)*Assumptions!$B$19-Assumptions!$B$28*(-Historical!$D$24/Historical!$D$28)))*(1-Assumptions!$B$17))/('Accretion-Dilution'!$B$6+Transaction!$B$25))-'Accretion-Dilution'!$B$7</f>
        <v>-2.37420730694981</v>
      </c>
      <c r="D18" s="37" t="n">
        <f aca="false">((Assumptions!$B$31+Assumptions!$B$33+(D$15*Assumptions!$B$35-Assumptions!$B$37-Assumptions!$B$36-(Transaction!$B$20*$A18*Assumptions!$B$22+(Transaction!$B$20-Transaction!$B$20*$A18-Transaction!$D$18)*Assumptions!$B$19-Assumptions!$B$28*(-Historical!$D$24/Historical!$D$28)))*(1-Assumptions!$B$17))/('Accretion-Dilution'!$B$6+Transaction!$B$25))-'Accretion-Dilution'!$B$7</f>
        <v>-2.19684244208494</v>
      </c>
      <c r="E18" s="37" t="n">
        <f aca="false">((Assumptions!$B$31+Assumptions!$B$33+(E$15*Assumptions!$B$35-Assumptions!$B$37-Assumptions!$B$36-(Transaction!$B$20*$A18*Assumptions!$B$22+(Transaction!$B$20-Transaction!$B$20*$A18-Transaction!$D$18)*Assumptions!$B$19-Assumptions!$B$28*(-Historical!$D$24/Historical!$D$28)))*(1-Assumptions!$B$17))/('Accretion-Dilution'!$B$6+Transaction!$B$25))-'Accretion-Dilution'!$B$7</f>
        <v>-2.01947757722008</v>
      </c>
      <c r="F18" s="37" t="n">
        <f aca="false">((Assumptions!$B$31+Assumptions!$B$33+(F$15*Assumptions!$B$35-Assumptions!$B$37-Assumptions!$B$36-(Transaction!$B$20*$A18*Assumptions!$B$22+(Transaction!$B$20-Transaction!$B$20*$A18-Transaction!$D$18)*Assumptions!$B$19-Assumptions!$B$28*(-Historical!$D$24/Historical!$D$28)))*(1-Assumptions!$B$17))/('Accretion-Dilution'!$B$6+Transaction!$B$25))-'Accretion-Dilution'!$B$7</f>
        <v>-1.84211271235521</v>
      </c>
    </row>
    <row r="19" customFormat="false" ht="15" hidden="false" customHeight="false" outlineLevel="0" collapsed="false">
      <c r="A19" s="36" t="n">
        <v>0.65</v>
      </c>
      <c r="B19" s="37" t="n">
        <f aca="false">((Assumptions!$B$31+Assumptions!$B$33+(B$15*Assumptions!$B$35-Assumptions!$B$37-Assumptions!$B$36-(Transaction!$B$20*$A19*Assumptions!$B$22+(Transaction!$B$20-Transaction!$B$20*$A19-Transaction!$D$18)*Assumptions!$B$19-Assumptions!$B$28*(-Historical!$D$24/Historical!$D$28)))*(1-Assumptions!$B$17))/('Accretion-Dilution'!$B$6+Transaction!$B$25))-'Accretion-Dilution'!$B$7</f>
        <v>-2.50120338803089</v>
      </c>
      <c r="C19" s="37" t="n">
        <f aca="false">((Assumptions!$B$31+Assumptions!$B$33+(C$15*Assumptions!$B$35-Assumptions!$B$37-Assumptions!$B$36-(Transaction!$B$20*$A19*Assumptions!$B$22+(Transaction!$B$20-Transaction!$B$20*$A19-Transaction!$D$18)*Assumptions!$B$19-Assumptions!$B$28*(-Historical!$D$24/Historical!$D$28)))*(1-Assumptions!$B$17))/('Accretion-Dilution'!$B$6+Transaction!$B$25))-'Accretion-Dilution'!$B$7</f>
        <v>-2.41252095559846</v>
      </c>
      <c r="D19" s="37" t="n">
        <f aca="false">((Assumptions!$B$31+Assumptions!$B$33+(D$15*Assumptions!$B$35-Assumptions!$B$37-Assumptions!$B$36-(Transaction!$B$20*$A19*Assumptions!$B$22+(Transaction!$B$20-Transaction!$B$20*$A19-Transaction!$D$18)*Assumptions!$B$19-Assumptions!$B$28*(-Historical!$D$24/Historical!$D$28)))*(1-Assumptions!$B$17))/('Accretion-Dilution'!$B$6+Transaction!$B$25))-'Accretion-Dilution'!$B$7</f>
        <v>-2.23515609073359</v>
      </c>
      <c r="E19" s="37" t="n">
        <f aca="false">((Assumptions!$B$31+Assumptions!$B$33+(E$15*Assumptions!$B$35-Assumptions!$B$37-Assumptions!$B$36-(Transaction!$B$20*$A19*Assumptions!$B$22+(Transaction!$B$20-Transaction!$B$20*$A19-Transaction!$D$18)*Assumptions!$B$19-Assumptions!$B$28*(-Historical!$D$24/Historical!$D$28)))*(1-Assumptions!$B$17))/('Accretion-Dilution'!$B$6+Transaction!$B$25))-'Accretion-Dilution'!$B$7</f>
        <v>-2.05779122586873</v>
      </c>
      <c r="F19" s="37" t="n">
        <f aca="false">((Assumptions!$B$31+Assumptions!$B$33+(F$15*Assumptions!$B$35-Assumptions!$B$37-Assumptions!$B$36-(Transaction!$B$20*$A19*Assumptions!$B$22+(Transaction!$B$20-Transaction!$B$20*$A19-Transaction!$D$18)*Assumptions!$B$19-Assumptions!$B$28*(-Historical!$D$24/Historical!$D$28)))*(1-Assumptions!$B$17))/('Accretion-Dilution'!$B$6+Transaction!$B$25))-'Accretion-Dilution'!$B$7</f>
        <v>-1.88042636100386</v>
      </c>
    </row>
    <row r="20" customFormat="false" ht="15" hidden="false" customHeight="false" outlineLevel="0" collapsed="false">
      <c r="A20" s="36" t="n">
        <v>0.75</v>
      </c>
      <c r="B20" s="37" t="n">
        <f aca="false">((Assumptions!$B$31+Assumptions!$B$33+(B$15*Assumptions!$B$35-Assumptions!$B$37-Assumptions!$B$36-(Transaction!$B$20*$A20*Assumptions!$B$22+(Transaction!$B$20-Transaction!$B$20*$A20-Transaction!$D$18)*Assumptions!$B$19-Assumptions!$B$28*(-Historical!$D$24/Historical!$D$28)))*(1-Assumptions!$B$17))/('Accretion-Dilution'!$B$6+Transaction!$B$25))-'Accretion-Dilution'!$B$7</f>
        <v>-2.53951703667954</v>
      </c>
      <c r="C20" s="37" t="n">
        <f aca="false">((Assumptions!$B$31+Assumptions!$B$33+(C$15*Assumptions!$B$35-Assumptions!$B$37-Assumptions!$B$36-(Transaction!$B$20*$A20*Assumptions!$B$22+(Transaction!$B$20-Transaction!$B$20*$A20-Transaction!$D$18)*Assumptions!$B$19-Assumptions!$B$28*(-Historical!$D$24/Historical!$D$28)))*(1-Assumptions!$B$17))/('Accretion-Dilution'!$B$6+Transaction!$B$25))-'Accretion-Dilution'!$B$7</f>
        <v>-2.4508346042471</v>
      </c>
      <c r="D20" s="37" t="n">
        <f aca="false">((Assumptions!$B$31+Assumptions!$B$33+(D$15*Assumptions!$B$35-Assumptions!$B$37-Assumptions!$B$36-(Transaction!$B$20*$A20*Assumptions!$B$22+(Transaction!$B$20-Transaction!$B$20*$A20-Transaction!$D$18)*Assumptions!$B$19-Assumptions!$B$28*(-Historical!$D$24/Historical!$D$28)))*(1-Assumptions!$B$17))/('Accretion-Dilution'!$B$6+Transaction!$B$25))-'Accretion-Dilution'!$B$7</f>
        <v>-2.27346973938224</v>
      </c>
      <c r="E20" s="37" t="n">
        <f aca="false">((Assumptions!$B$31+Assumptions!$B$33+(E$15*Assumptions!$B$35-Assumptions!$B$37-Assumptions!$B$36-(Transaction!$B$20*$A20*Assumptions!$B$22+(Transaction!$B$20-Transaction!$B$20*$A20-Transaction!$D$18)*Assumptions!$B$19-Assumptions!$B$28*(-Historical!$D$24/Historical!$D$28)))*(1-Assumptions!$B$17))/('Accretion-Dilution'!$B$6+Transaction!$B$25))-'Accretion-Dilution'!$B$7</f>
        <v>-2.09610487451737</v>
      </c>
      <c r="F20" s="37" t="n">
        <f aca="false">((Assumptions!$B$31+Assumptions!$B$33+(F$15*Assumptions!$B$35-Assumptions!$B$37-Assumptions!$B$36-(Transaction!$B$20*$A20*Assumptions!$B$22+(Transaction!$B$20-Transaction!$B$20*$A20-Transaction!$D$18)*Assumptions!$B$19-Assumptions!$B$28*(-Historical!$D$24/Historical!$D$28)))*(1-Assumptions!$B$17))/('Accretion-Dilution'!$B$6+Transaction!$B$25))-'Accretion-Dilution'!$B$7</f>
        <v>-1.91874000965251</v>
      </c>
    </row>
    <row r="23" customFormat="false" ht="42" hidden="false" customHeight="true" outlineLevel="0" collapsed="false">
      <c r="A23" s="10" t="s">
        <v>321</v>
      </c>
      <c r="B23" s="10"/>
      <c r="C23" s="10"/>
      <c r="D23" s="10"/>
      <c r="E23" s="10"/>
      <c r="F23" s="10"/>
      <c r="G23" s="10"/>
    </row>
  </sheetData>
  <mergeCells count="5">
    <mergeCell ref="A1:G1"/>
    <mergeCell ref="A2:G2"/>
    <mergeCell ref="A4:G4"/>
    <mergeCell ref="A14:G14"/>
    <mergeCell ref="A23:G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36"/>
    <col collapsed="false" customWidth="true" hidden="false" outlineLevel="0" max="4" min="4" style="0" width="70"/>
  </cols>
  <sheetData>
    <row r="1" customFormat="false" ht="17.35" hidden="false" customHeight="false" outlineLevel="0" collapsed="false">
      <c r="A1" s="38" t="s">
        <v>322</v>
      </c>
    </row>
    <row r="2" customFormat="false" ht="15" hidden="false" customHeight="false" outlineLevel="0" collapsed="false">
      <c r="A2" s="39" t="s">
        <v>323</v>
      </c>
    </row>
    <row r="4" customFormat="false" ht="15" hidden="false" customHeight="false" outlineLevel="0" collapsed="false">
      <c r="A4" s="40" t="s">
        <v>324</v>
      </c>
      <c r="B4" s="40" t="s">
        <v>325</v>
      </c>
      <c r="C4" s="40" t="s">
        <v>326</v>
      </c>
      <c r="D4" s="40" t="s">
        <v>327</v>
      </c>
    </row>
    <row r="5" customFormat="false" ht="23.85" hidden="false" customHeight="false" outlineLevel="0" collapsed="false">
      <c r="A5" s="41" t="n">
        <v>1</v>
      </c>
      <c r="B5" s="41" t="s">
        <v>328</v>
      </c>
      <c r="C5" s="41" t="s">
        <v>329</v>
      </c>
      <c r="D5" s="41" t="s">
        <v>330</v>
      </c>
    </row>
    <row r="6" customFormat="false" ht="23.85" hidden="false" customHeight="false" outlineLevel="0" collapsed="false">
      <c r="A6" s="41" t="n">
        <v>2</v>
      </c>
      <c r="B6" s="41" t="s">
        <v>331</v>
      </c>
      <c r="C6" s="41" t="s">
        <v>332</v>
      </c>
      <c r="D6" s="41" t="s">
        <v>333</v>
      </c>
    </row>
    <row r="7" customFormat="false" ht="23.85" hidden="false" customHeight="false" outlineLevel="0" collapsed="false">
      <c r="A7" s="41" t="n">
        <v>3</v>
      </c>
      <c r="B7" s="41" t="s">
        <v>334</v>
      </c>
      <c r="C7" s="41" t="s">
        <v>335</v>
      </c>
      <c r="D7" s="41" t="s">
        <v>336</v>
      </c>
    </row>
    <row r="8" customFormat="false" ht="23.85" hidden="false" customHeight="false" outlineLevel="0" collapsed="false">
      <c r="A8" s="41" t="n">
        <v>4</v>
      </c>
      <c r="B8" s="41" t="s">
        <v>337</v>
      </c>
      <c r="C8" s="41" t="s">
        <v>338</v>
      </c>
      <c r="D8" s="41" t="s">
        <v>339</v>
      </c>
    </row>
    <row r="9" customFormat="false" ht="23.85" hidden="false" customHeight="false" outlineLevel="0" collapsed="false">
      <c r="A9" s="41" t="n">
        <v>5</v>
      </c>
      <c r="B9" s="41" t="s">
        <v>340</v>
      </c>
      <c r="C9" s="41" t="s">
        <v>341</v>
      </c>
      <c r="D9" s="41" t="s">
        <v>342</v>
      </c>
    </row>
    <row r="10" customFormat="false" ht="23.85" hidden="false" customHeight="false" outlineLevel="0" collapsed="false">
      <c r="A10" s="41" t="n">
        <v>6</v>
      </c>
      <c r="B10" s="41" t="s">
        <v>343</v>
      </c>
      <c r="C10" s="41" t="s">
        <v>344</v>
      </c>
      <c r="D10" s="41" t="s">
        <v>345</v>
      </c>
    </row>
    <row r="11" customFormat="false" ht="23.85" hidden="false" customHeight="false" outlineLevel="0" collapsed="false">
      <c r="A11" s="41" t="n">
        <v>7</v>
      </c>
      <c r="B11" s="41" t="s">
        <v>346</v>
      </c>
      <c r="C11" s="41" t="s">
        <v>347</v>
      </c>
      <c r="D11" s="41" t="s">
        <v>348</v>
      </c>
    </row>
    <row r="12" customFormat="false" ht="35.05" hidden="false" customHeight="false" outlineLevel="0" collapsed="false">
      <c r="A12" s="41" t="n">
        <v>8</v>
      </c>
      <c r="B12" s="41" t="s">
        <v>349</v>
      </c>
      <c r="C12" s="41" t="s">
        <v>350</v>
      </c>
      <c r="D12" s="41" t="s">
        <v>351</v>
      </c>
    </row>
    <row r="13" customFormat="false" ht="23.85" hidden="false" customHeight="false" outlineLevel="0" collapsed="false">
      <c r="A13" s="41" t="n">
        <v>9</v>
      </c>
      <c r="B13" s="41" t="s">
        <v>352</v>
      </c>
      <c r="C13" s="41" t="s">
        <v>353</v>
      </c>
      <c r="D13" s="41" t="s">
        <v>354</v>
      </c>
    </row>
    <row r="14" customFormat="false" ht="15" hidden="false" customHeight="false" outlineLevel="0" collapsed="false">
      <c r="A14" s="41" t="n">
        <v>10</v>
      </c>
      <c r="B14" s="41" t="s">
        <v>355</v>
      </c>
      <c r="C14" s="41" t="s">
        <v>356</v>
      </c>
      <c r="D14" s="41" t="s">
        <v>357</v>
      </c>
    </row>
    <row r="16" customFormat="false" ht="15" hidden="false" customHeight="false" outlineLevel="0" collapsed="false">
      <c r="A16" s="40"/>
      <c r="B16" s="40" t="s">
        <v>358</v>
      </c>
      <c r="C16" s="40" t="s">
        <v>359</v>
      </c>
      <c r="D16" s="40" t="s">
        <v>360</v>
      </c>
    </row>
    <row r="17" customFormat="false" ht="15" hidden="false" customHeight="false" outlineLevel="0" collapsed="false">
      <c r="A17" s="41"/>
      <c r="B17" s="41" t="s">
        <v>194</v>
      </c>
      <c r="C17" s="42" t="n">
        <v>126.442</v>
      </c>
      <c r="D17" s="42" t="n">
        <f aca="false">DCF!B32</f>
        <v>80.4478026791489</v>
      </c>
    </row>
    <row r="18" customFormat="false" ht="15" hidden="false" customHeight="false" outlineLevel="0" collapsed="false">
      <c r="A18" s="41"/>
      <c r="B18" s="41" t="s">
        <v>361</v>
      </c>
      <c r="C18" s="42" t="n">
        <v>43</v>
      </c>
      <c r="D18" s="42" t="n">
        <f aca="false">DCF!B33</f>
        <v>57</v>
      </c>
    </row>
    <row r="19" customFormat="false" ht="15" hidden="false" customHeight="false" outlineLevel="0" collapsed="false">
      <c r="A19" s="41"/>
      <c r="B19" s="41" t="s">
        <v>362</v>
      </c>
      <c r="C19" s="42" t="n">
        <v>83.442</v>
      </c>
      <c r="D19" s="42" t="n">
        <f aca="false">DCF!B34</f>
        <v>23.4478026791489</v>
      </c>
    </row>
    <row r="20" customFormat="false" ht="15" hidden="false" customHeight="false" outlineLevel="0" collapsed="false">
      <c r="A20" s="41"/>
      <c r="B20" s="41" t="s">
        <v>363</v>
      </c>
      <c r="C20" s="43" t="n">
        <v>15.6101234567901</v>
      </c>
      <c r="D20" s="43" t="n">
        <f aca="false">DCF!B49</f>
        <v>9.93182749125295</v>
      </c>
    </row>
    <row r="21" customFormat="false" ht="15" hidden="false" customHeight="false" outlineLevel="0" collapsed="false">
      <c r="A21" s="41"/>
      <c r="B21" s="41" t="s">
        <v>364</v>
      </c>
      <c r="C21" s="44" t="n">
        <v>0.951265432098766</v>
      </c>
      <c r="D21" s="44" t="n">
        <f aca="false">DCF!B48</f>
        <v>0.241478436406619</v>
      </c>
    </row>
    <row r="22" customFormat="false" ht="15" hidden="false" customHeight="false" outlineLevel="0" collapsed="false">
      <c r="A22" s="41"/>
      <c r="B22" s="41" t="s">
        <v>365</v>
      </c>
      <c r="C22" s="42" t="n">
        <v>16.4</v>
      </c>
      <c r="D22" s="42" t="n">
        <f aca="false">Transaction!B12</f>
        <v>44.4</v>
      </c>
    </row>
    <row r="23" customFormat="false" ht="15" hidden="false" customHeight="false" outlineLevel="0" collapsed="false">
      <c r="A23" s="41"/>
      <c r="B23" s="41" t="s">
        <v>298</v>
      </c>
      <c r="C23" s="44" t="n">
        <v>-0.47535</v>
      </c>
      <c r="D23" s="44" t="str">
        <f aca="false">'Accretion-Dilution'!B20</f>
        <v>n.m.</v>
      </c>
    </row>
    <row r="24" customFormat="false" ht="15" hidden="false" customHeight="false" outlineLevel="0" collapsed="false">
      <c r="A24" s="41"/>
      <c r="B24" s="41" t="s">
        <v>366</v>
      </c>
      <c r="C24" s="45" t="n">
        <v>-0.81488</v>
      </c>
      <c r="D24" s="45" t="n">
        <f aca="false">'Accretion-Dilution'!B21</f>
        <v>-2.19684244208494</v>
      </c>
    </row>
    <row r="25" customFormat="false" ht="15" hidden="false" customHeight="false" outlineLevel="0" collapsed="false">
      <c r="A25" s="41"/>
      <c r="B25" s="41" t="s">
        <v>304</v>
      </c>
      <c r="C25" s="45" t="s">
        <v>367</v>
      </c>
      <c r="D25" s="45" t="n">
        <f aca="false">'Accretion-Dilution'!B23</f>
        <v>-1.18332892857143</v>
      </c>
    </row>
    <row r="27" customFormat="false" ht="15" hidden="false" customHeight="false" outlineLevel="0" collapsed="false">
      <c r="A27" s="40"/>
      <c r="B27" s="40" t="s">
        <v>368</v>
      </c>
      <c r="C27" s="40"/>
      <c r="D27" s="40"/>
    </row>
    <row r="28" customFormat="false" ht="15" hidden="false" customHeight="true" outlineLevel="0" collapsed="false">
      <c r="A28" s="41"/>
      <c r="B28" s="41" t="s">
        <v>369</v>
      </c>
      <c r="C28" s="41"/>
      <c r="D28" s="41"/>
    </row>
    <row r="29" customFormat="false" ht="15" hidden="false" customHeight="true" outlineLevel="0" collapsed="false">
      <c r="A29" s="41"/>
      <c r="B29" s="41" t="s">
        <v>370</v>
      </c>
      <c r="C29" s="41"/>
      <c r="D29" s="41"/>
    </row>
    <row r="30" customFormat="false" ht="15" hidden="false" customHeight="true" outlineLevel="0" collapsed="false">
      <c r="A30" s="41"/>
      <c r="B30" s="41" t="s">
        <v>371</v>
      </c>
      <c r="C30" s="41"/>
      <c r="D30" s="41"/>
    </row>
    <row r="31" customFormat="false" ht="15" hidden="false" customHeight="true" outlineLevel="0" collapsed="false">
      <c r="A31" s="41"/>
      <c r="B31" s="41" t="s">
        <v>372</v>
      </c>
      <c r="C31" s="41"/>
      <c r="D31" s="41"/>
    </row>
    <row r="32" customFormat="false" ht="15" hidden="false" customHeight="true" outlineLevel="0" collapsed="false">
      <c r="A32" s="41"/>
      <c r="B32" s="41" t="s">
        <v>373</v>
      </c>
      <c r="C32" s="41"/>
      <c r="D32" s="41"/>
    </row>
    <row r="33" customFormat="false" ht="15" hidden="false" customHeight="true" outlineLevel="0" collapsed="false">
      <c r="A33" s="41"/>
      <c r="B33" s="41" t="s">
        <v>374</v>
      </c>
      <c r="C33" s="41"/>
      <c r="D33" s="41"/>
    </row>
  </sheetData>
  <mergeCells count="6">
    <mergeCell ref="B28:D28"/>
    <mergeCell ref="B29:D29"/>
    <mergeCell ref="B30:D30"/>
    <mergeCell ref="B31:D31"/>
    <mergeCell ref="B32:D32"/>
    <mergeCell ref="B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2026-10-27T07:28:03Z</dcterms:created>
  <dc:creator>openpyxl</dc:creator>
  <dc:description/>
  <dc:language>en-US</dc:language>
  <cp:lastModifiedBy/>
  <dcterms:modified xsi:type="dcterms:W3CDTF">2026-10-27T07:28:03Z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